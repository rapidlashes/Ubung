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ocuments\Data Science and AI(LUX)\"/>
    </mc:Choice>
  </mc:AlternateContent>
  <xr:revisionPtr revIDLastSave="0" documentId="13_ncr:1_{1F428F4C-6E46-4DC0-85A4-3373D7564103}" xr6:coauthVersionLast="47" xr6:coauthVersionMax="47" xr10:uidLastSave="{00000000-0000-0000-0000-000000000000}"/>
  <bookViews>
    <workbookView xWindow="-110" yWindow="-110" windowWidth="19420" windowHeight="10420" xr2:uid="{32726BFE-EC74-4A94-956C-A1393715B3C3}"/>
  </bookViews>
  <sheets>
    <sheet name="excel founda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9" i="1" l="1"/>
  <c r="W30" i="1"/>
  <c r="W31" i="1"/>
  <c r="W32" i="1"/>
  <c r="W33" i="1"/>
  <c r="W34" i="1"/>
  <c r="W35" i="1"/>
  <c r="W36" i="1"/>
  <c r="W37" i="1"/>
  <c r="W38" i="1"/>
  <c r="W39" i="1"/>
  <c r="W40" i="1"/>
  <c r="W41" i="1"/>
  <c r="W21" i="1"/>
  <c r="W22" i="1"/>
  <c r="W23" i="1"/>
  <c r="W24" i="1"/>
  <c r="W25" i="1"/>
  <c r="W26" i="1"/>
  <c r="W27" i="1"/>
  <c r="W28" i="1"/>
  <c r="W19" i="1"/>
  <c r="W20" i="1"/>
  <c r="W16" i="1"/>
  <c r="W17" i="1"/>
  <c r="W18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0" i="1"/>
  <c r="U21" i="1"/>
  <c r="U22" i="1"/>
  <c r="U23" i="1"/>
  <c r="U24" i="1"/>
  <c r="U19" i="1"/>
  <c r="U18" i="1"/>
  <c r="U17" i="1"/>
  <c r="U16" i="1"/>
  <c r="U15" i="1"/>
  <c r="U14" i="1"/>
  <c r="U13" i="1"/>
  <c r="U12" i="1"/>
  <c r="U11" i="1"/>
  <c r="U3" i="1"/>
  <c r="U4" i="1"/>
  <c r="U5" i="1"/>
  <c r="U6" i="1"/>
  <c r="U7" i="1"/>
  <c r="U8" i="1"/>
  <c r="U9" i="1"/>
  <c r="U10" i="1"/>
  <c r="U2" i="1"/>
  <c r="F42" i="1"/>
  <c r="F43" i="1"/>
  <c r="F44" i="1"/>
  <c r="F45" i="1"/>
  <c r="F46" i="1"/>
  <c r="G38" i="1"/>
  <c r="G39" i="1"/>
  <c r="G40" i="1"/>
  <c r="G41" i="1"/>
  <c r="G27" i="1"/>
  <c r="G28" i="1"/>
  <c r="G29" i="1"/>
  <c r="G30" i="1"/>
  <c r="G31" i="1"/>
  <c r="G32" i="1"/>
  <c r="G33" i="1"/>
  <c r="G34" i="1"/>
  <c r="G35" i="1"/>
  <c r="G36" i="1"/>
  <c r="G37" i="1"/>
  <c r="G17" i="1"/>
  <c r="G18" i="1"/>
  <c r="G19" i="1"/>
  <c r="G20" i="1"/>
  <c r="G21" i="1"/>
  <c r="G22" i="1"/>
  <c r="G23" i="1"/>
  <c r="G24" i="1"/>
  <c r="G25" i="1"/>
  <c r="G26" i="1"/>
  <c r="G8" i="1"/>
  <c r="G9" i="1"/>
  <c r="G10" i="1"/>
  <c r="G11" i="1"/>
  <c r="G12" i="1"/>
  <c r="G13" i="1"/>
  <c r="G14" i="1"/>
  <c r="G15" i="1"/>
  <c r="G16" i="1"/>
  <c r="G3" i="1"/>
  <c r="G4" i="1"/>
  <c r="G5" i="1"/>
  <c r="G6" i="1"/>
  <c r="G7" i="1"/>
  <c r="G2" i="1"/>
  <c r="S32" i="1"/>
  <c r="S33" i="1"/>
  <c r="S34" i="1"/>
  <c r="S35" i="1"/>
  <c r="S36" i="1"/>
  <c r="S37" i="1"/>
  <c r="S38" i="1"/>
  <c r="S39" i="1"/>
  <c r="S40" i="1"/>
  <c r="S41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10" i="1"/>
  <c r="S11" i="1"/>
  <c r="S12" i="1"/>
  <c r="S13" i="1"/>
  <c r="S14" i="1"/>
  <c r="S15" i="1"/>
  <c r="S16" i="1"/>
  <c r="S17" i="1"/>
  <c r="S3" i="1"/>
  <c r="S4" i="1"/>
  <c r="S5" i="1"/>
  <c r="S6" i="1"/>
  <c r="S7" i="1"/>
  <c r="S8" i="1"/>
  <c r="S9" i="1"/>
  <c r="S2" i="1"/>
  <c r="J13" i="1"/>
  <c r="L13" i="1" s="1"/>
  <c r="M13" i="1" s="1"/>
  <c r="J14" i="1"/>
  <c r="J21" i="1"/>
  <c r="M36" i="1"/>
  <c r="M19" i="1"/>
  <c r="M7" i="1"/>
  <c r="M9" i="1"/>
  <c r="M10" i="1"/>
  <c r="M11" i="1"/>
  <c r="L35" i="1"/>
  <c r="M35" i="1" s="1"/>
  <c r="J38" i="1"/>
  <c r="J39" i="1"/>
  <c r="J40" i="1"/>
  <c r="J41" i="1"/>
  <c r="J29" i="1"/>
  <c r="J30" i="1"/>
  <c r="J31" i="1"/>
  <c r="J32" i="1"/>
  <c r="L32" i="1" s="1"/>
  <c r="J33" i="1"/>
  <c r="J34" i="1"/>
  <c r="L34" i="1" s="1"/>
  <c r="J35" i="1"/>
  <c r="J36" i="1"/>
  <c r="O36" i="1" s="1"/>
  <c r="J37" i="1"/>
  <c r="L37" i="1" s="1"/>
  <c r="J7" i="1"/>
  <c r="J8" i="1"/>
  <c r="J9" i="1"/>
  <c r="O9" i="1" s="1"/>
  <c r="J10" i="1"/>
  <c r="O10" i="1" s="1"/>
  <c r="J11" i="1"/>
  <c r="N11" i="1" s="1"/>
  <c r="J12" i="1"/>
  <c r="J15" i="1"/>
  <c r="J16" i="1"/>
  <c r="L16" i="1" s="1"/>
  <c r="N16" i="1" s="1"/>
  <c r="J17" i="1"/>
  <c r="J18" i="1"/>
  <c r="J19" i="1"/>
  <c r="N19" i="1" s="1"/>
  <c r="J20" i="1"/>
  <c r="J22" i="1"/>
  <c r="J23" i="1"/>
  <c r="L23" i="1" s="1"/>
  <c r="M23" i="1" s="1"/>
  <c r="J24" i="1"/>
  <c r="J25" i="1"/>
  <c r="L25" i="1" s="1"/>
  <c r="M25" i="1" s="1"/>
  <c r="J26" i="1"/>
  <c r="J27" i="1"/>
  <c r="J28" i="1"/>
  <c r="L28" i="1" s="1"/>
  <c r="M28" i="1" s="1"/>
  <c r="J3" i="1"/>
  <c r="J4" i="1"/>
  <c r="L4" i="1" s="1"/>
  <c r="M4" i="1" s="1"/>
  <c r="J5" i="1"/>
  <c r="J6" i="1"/>
  <c r="J2" i="1"/>
  <c r="O25" i="1" l="1"/>
  <c r="P25" i="1"/>
  <c r="N25" i="1"/>
  <c r="L2" i="1"/>
  <c r="M2" i="1" s="1"/>
  <c r="L33" i="1"/>
  <c r="N33" i="1" s="1"/>
  <c r="P35" i="1"/>
  <c r="L20" i="1"/>
  <c r="P20" i="1" s="1"/>
  <c r="L3" i="1"/>
  <c r="L38" i="1"/>
  <c r="O38" i="1" s="1"/>
  <c r="O19" i="1"/>
  <c r="P4" i="1"/>
  <c r="N28" i="1"/>
  <c r="O28" i="1"/>
  <c r="P28" i="1"/>
  <c r="L21" i="1"/>
  <c r="P21" i="1"/>
  <c r="L14" i="1"/>
  <c r="O14" i="1" s="1"/>
  <c r="N23" i="1"/>
  <c r="O23" i="1"/>
  <c r="P23" i="1"/>
  <c r="L8" i="1"/>
  <c r="M8" i="1" s="1"/>
  <c r="O35" i="1"/>
  <c r="L31" i="1"/>
  <c r="P31" i="1" s="1"/>
  <c r="L40" i="1"/>
  <c r="M40" i="1" s="1"/>
  <c r="M16" i="1"/>
  <c r="O16" i="1"/>
  <c r="M37" i="1"/>
  <c r="N37" i="1"/>
  <c r="P37" i="1"/>
  <c r="N36" i="1"/>
  <c r="L15" i="1"/>
  <c r="M15" i="1" s="1"/>
  <c r="L41" i="1"/>
  <c r="M41" i="1" s="1"/>
  <c r="O4" i="1"/>
  <c r="L26" i="1"/>
  <c r="O26" i="1" s="1"/>
  <c r="L22" i="1"/>
  <c r="O22" i="1" s="1"/>
  <c r="L17" i="1"/>
  <c r="O11" i="1"/>
  <c r="P11" i="1"/>
  <c r="P7" i="1"/>
  <c r="N7" i="1"/>
  <c r="L39" i="1"/>
  <c r="N39" i="1" s="1"/>
  <c r="L18" i="1"/>
  <c r="P18" i="1" s="1"/>
  <c r="L5" i="1"/>
  <c r="P5" i="1" s="1"/>
  <c r="L24" i="1"/>
  <c r="M24" i="1" s="1"/>
  <c r="L30" i="1"/>
  <c r="O7" i="1"/>
  <c r="O37" i="1"/>
  <c r="P36" i="1"/>
  <c r="Q36" i="1" s="1"/>
  <c r="N4" i="1"/>
  <c r="N35" i="1"/>
  <c r="L29" i="1"/>
  <c r="O3" i="1"/>
  <c r="P16" i="1"/>
  <c r="N20" i="1"/>
  <c r="M32" i="1"/>
  <c r="P32" i="1"/>
  <c r="N32" i="1"/>
  <c r="O32" i="1"/>
  <c r="L12" i="1"/>
  <c r="M12" i="1" s="1"/>
  <c r="P19" i="1"/>
  <c r="L6" i="1"/>
  <c r="M6" i="1" s="1"/>
  <c r="P9" i="1"/>
  <c r="N9" i="1"/>
  <c r="Q9" i="1" s="1"/>
  <c r="R9" i="1" s="1"/>
  <c r="P13" i="1"/>
  <c r="O13" i="1"/>
  <c r="N13" i="1"/>
  <c r="P10" i="1"/>
  <c r="M34" i="1"/>
  <c r="N34" i="1"/>
  <c r="P34" i="1"/>
  <c r="O34" i="1"/>
  <c r="L27" i="1"/>
  <c r="M27" i="1" s="1"/>
  <c r="N10" i="1"/>
  <c r="M21" i="1"/>
  <c r="N6" i="1" l="1"/>
  <c r="O2" i="1"/>
  <c r="Q23" i="1"/>
  <c r="R23" i="1" s="1"/>
  <c r="Q25" i="1"/>
  <c r="R25" i="1" s="1"/>
  <c r="N2" i="1"/>
  <c r="O39" i="1"/>
  <c r="Q21" i="1"/>
  <c r="R21" i="1" s="1"/>
  <c r="Q7" i="1"/>
  <c r="R7" i="1" s="1"/>
  <c r="M38" i="1"/>
  <c r="N38" i="1"/>
  <c r="Q28" i="1"/>
  <c r="R28" i="1" s="1"/>
  <c r="P38" i="1"/>
  <c r="O21" i="1"/>
  <c r="P8" i="1"/>
  <c r="P33" i="1"/>
  <c r="N21" i="1"/>
  <c r="P3" i="1"/>
  <c r="M3" i="1"/>
  <c r="Q3" i="1" s="1"/>
  <c r="R3" i="1" s="1"/>
  <c r="Q10" i="1"/>
  <c r="R10" i="1" s="1"/>
  <c r="Q13" i="1"/>
  <c r="R13" i="1" s="1"/>
  <c r="O12" i="1"/>
  <c r="Q4" i="1"/>
  <c r="R4" i="1" s="1"/>
  <c r="M33" i="1"/>
  <c r="P2" i="1"/>
  <c r="Q2" i="1" s="1"/>
  <c r="R2" i="1" s="1"/>
  <c r="O20" i="1"/>
  <c r="M20" i="1"/>
  <c r="O33" i="1"/>
  <c r="N3" i="1"/>
  <c r="M30" i="1"/>
  <c r="P30" i="1"/>
  <c r="O30" i="1"/>
  <c r="P15" i="1"/>
  <c r="O15" i="1"/>
  <c r="O17" i="1"/>
  <c r="M17" i="1"/>
  <c r="P26" i="1"/>
  <c r="R36" i="1"/>
  <c r="Q37" i="1"/>
  <c r="R37" i="1" s="1"/>
  <c r="Q16" i="1"/>
  <c r="R16" i="1" s="1"/>
  <c r="M31" i="1"/>
  <c r="O31" i="1"/>
  <c r="N40" i="1"/>
  <c r="N24" i="1"/>
  <c r="N17" i="1"/>
  <c r="N8" i="1"/>
  <c r="O6" i="1"/>
  <c r="N29" i="1"/>
  <c r="M29" i="1"/>
  <c r="P29" i="1"/>
  <c r="O29" i="1"/>
  <c r="M5" i="1"/>
  <c r="O5" i="1"/>
  <c r="Q11" i="1"/>
  <c r="R11" i="1" s="1"/>
  <c r="M22" i="1"/>
  <c r="N22" i="1"/>
  <c r="O41" i="1"/>
  <c r="O8" i="1"/>
  <c r="P6" i="1"/>
  <c r="P39" i="1"/>
  <c r="Q39" i="1" s="1"/>
  <c r="R39" i="1" s="1"/>
  <c r="M18" i="1"/>
  <c r="N18" i="1"/>
  <c r="P17" i="1"/>
  <c r="P22" i="1"/>
  <c r="O40" i="1"/>
  <c r="N31" i="1"/>
  <c r="Q35" i="1"/>
  <c r="R35" i="1" s="1"/>
  <c r="O18" i="1"/>
  <c r="N5" i="1"/>
  <c r="P41" i="1"/>
  <c r="N15" i="1"/>
  <c r="N30" i="1"/>
  <c r="M26" i="1"/>
  <c r="P24" i="1"/>
  <c r="P40" i="1"/>
  <c r="N41" i="1"/>
  <c r="O24" i="1"/>
  <c r="N26" i="1"/>
  <c r="M14" i="1"/>
  <c r="N14" i="1"/>
  <c r="P14" i="1"/>
  <c r="Q32" i="1"/>
  <c r="R32" i="1" s="1"/>
  <c r="N12" i="1"/>
  <c r="P12" i="1"/>
  <c r="Q19" i="1"/>
  <c r="R19" i="1" s="1"/>
  <c r="Q34" i="1"/>
  <c r="R34" i="1" s="1"/>
  <c r="N27" i="1"/>
  <c r="O27" i="1"/>
  <c r="P27" i="1"/>
  <c r="Q8" i="1" l="1"/>
  <c r="Q41" i="1"/>
  <c r="R41" i="1" s="1"/>
  <c r="Q22" i="1"/>
  <c r="R22" i="1" s="1"/>
  <c r="Q33" i="1"/>
  <c r="R33" i="1" s="1"/>
  <c r="Q26" i="1"/>
  <c r="R26" i="1" s="1"/>
  <c r="Q40" i="1"/>
  <c r="R40" i="1" s="1"/>
  <c r="Q20" i="1"/>
  <c r="R20" i="1" s="1"/>
  <c r="Q14" i="1"/>
  <c r="R14" i="1" s="1"/>
  <c r="Q30" i="1"/>
  <c r="R30" i="1" s="1"/>
  <c r="Q29" i="1"/>
  <c r="R29" i="1" s="1"/>
  <c r="Q31" i="1"/>
  <c r="R31" i="1" s="1"/>
  <c r="Q18" i="1"/>
  <c r="R18" i="1" s="1"/>
  <c r="R8" i="1"/>
  <c r="Q6" i="1"/>
  <c r="R6" i="1" s="1"/>
  <c r="Q38" i="1"/>
  <c r="R38" i="1" s="1"/>
  <c r="Q17" i="1"/>
  <c r="R17" i="1" s="1"/>
  <c r="Q27" i="1"/>
  <c r="R27" i="1" s="1"/>
  <c r="Q5" i="1"/>
  <c r="R5" i="1" s="1"/>
  <c r="Q15" i="1"/>
  <c r="R15" i="1" s="1"/>
  <c r="Q24" i="1"/>
  <c r="R24" i="1" s="1"/>
  <c r="M42" i="1"/>
  <c r="Q12" i="1"/>
  <c r="R12" i="1" s="1"/>
</calcChain>
</file>

<file path=xl/sharedStrings.xml><?xml version="1.0" encoding="utf-8"?>
<sst xmlns="http://schemas.openxmlformats.org/spreadsheetml/2006/main" count="264" uniqueCount="182">
  <si>
    <t>ITEM</t>
  </si>
  <si>
    <t>SERIAL NO.</t>
  </si>
  <si>
    <t>BRAND NO.</t>
  </si>
  <si>
    <t>BRAND</t>
  </si>
  <si>
    <t>FRONT BRAKE PADS</t>
  </si>
  <si>
    <t>C150619-15</t>
  </si>
  <si>
    <t>MCJ-722MC</t>
  </si>
  <si>
    <t>COMPACT</t>
  </si>
  <si>
    <t>C170726-97</t>
  </si>
  <si>
    <t>MCJ-682C</t>
  </si>
  <si>
    <t>C150629-10</t>
  </si>
  <si>
    <t>MCJ-444</t>
  </si>
  <si>
    <t>C150620-82</t>
  </si>
  <si>
    <t>MCJ-433M</t>
  </si>
  <si>
    <t>C180203-134</t>
  </si>
  <si>
    <t>MCJ-394M</t>
  </si>
  <si>
    <t>C160622-08</t>
  </si>
  <si>
    <t>MCJ-113</t>
  </si>
  <si>
    <t>C181001-59</t>
  </si>
  <si>
    <t>MCJ-752MC</t>
  </si>
  <si>
    <t>C160622-16</t>
  </si>
  <si>
    <t>MCJ-465M</t>
  </si>
  <si>
    <t>C180920-104</t>
  </si>
  <si>
    <t>MCJ-450M</t>
  </si>
  <si>
    <t>C150617-22</t>
  </si>
  <si>
    <t>MCJ-735MC</t>
  </si>
  <si>
    <t>C150625-11</t>
  </si>
  <si>
    <t>MCJ-413M</t>
  </si>
  <si>
    <t>C150618-42</t>
  </si>
  <si>
    <t>MCJ-1724</t>
  </si>
  <si>
    <t>C160618-57</t>
  </si>
  <si>
    <t>MCJ1317MC</t>
  </si>
  <si>
    <t>C180921-75</t>
  </si>
  <si>
    <t>MCJ-786MC</t>
  </si>
  <si>
    <t>C140218-69</t>
  </si>
  <si>
    <t>MCJ-732MC</t>
  </si>
  <si>
    <t>C180925066</t>
  </si>
  <si>
    <t>DCC-719MC</t>
  </si>
  <si>
    <t>C150115-27</t>
  </si>
  <si>
    <t>DCN-312M</t>
  </si>
  <si>
    <t>C150617-72</t>
  </si>
  <si>
    <t>DCN-370M</t>
  </si>
  <si>
    <t>C15011282</t>
  </si>
  <si>
    <t>DCN-455M</t>
  </si>
  <si>
    <t>C160621-18</t>
  </si>
  <si>
    <t>DCN-739M</t>
  </si>
  <si>
    <t>C180924-143</t>
  </si>
  <si>
    <t>REAR BRAKE PADS</t>
  </si>
  <si>
    <t>DCC-651M</t>
  </si>
  <si>
    <t>C1510108-84</t>
  </si>
  <si>
    <t>MCJ-604</t>
  </si>
  <si>
    <t>C150108-39</t>
  </si>
  <si>
    <t>MCJ-709MC</t>
  </si>
  <si>
    <t>C180922-60</t>
  </si>
  <si>
    <t>MCJ-713MC</t>
  </si>
  <si>
    <t>C180920-130</t>
  </si>
  <si>
    <t>MCJ-731MCS</t>
  </si>
  <si>
    <t>C15010938</t>
  </si>
  <si>
    <t>MCJ-734MC</t>
  </si>
  <si>
    <t>C160621-01</t>
  </si>
  <si>
    <t>MCJ-1318M</t>
  </si>
  <si>
    <t>C160620-08</t>
  </si>
  <si>
    <t>DCN-359M</t>
  </si>
  <si>
    <t>DCN-604</t>
  </si>
  <si>
    <t>C160621-80</t>
  </si>
  <si>
    <t>C150110-98</t>
  </si>
  <si>
    <t>DCN-635M</t>
  </si>
  <si>
    <t>04465-60280</t>
  </si>
  <si>
    <t>D2278M-01</t>
  </si>
  <si>
    <t>MK</t>
  </si>
  <si>
    <t>04465-20540</t>
  </si>
  <si>
    <t>D2180-01</t>
  </si>
  <si>
    <t>04465-0D110</t>
  </si>
  <si>
    <t>D2252-01</t>
  </si>
  <si>
    <t>DB1946GCT</t>
  </si>
  <si>
    <t>BENDIX</t>
  </si>
  <si>
    <t>DB1801GCT</t>
  </si>
  <si>
    <t>DB1842GCT</t>
  </si>
  <si>
    <t>DB1432GCT</t>
  </si>
  <si>
    <t>NA</t>
  </si>
  <si>
    <t>DB1488GCT</t>
  </si>
  <si>
    <t>DB1363GCT</t>
  </si>
  <si>
    <t>C170731-41</t>
  </si>
  <si>
    <t>DNX498M</t>
  </si>
  <si>
    <t>DESCRIPTION</t>
  </si>
  <si>
    <t>NISSAN TIIDA</t>
  </si>
  <si>
    <t>BELTA</t>
  </si>
  <si>
    <t>GRAND MAX</t>
  </si>
  <si>
    <t>L200</t>
  </si>
  <si>
    <t>PREMIO</t>
  </si>
  <si>
    <t>COROLLA</t>
  </si>
  <si>
    <t>T32</t>
  </si>
  <si>
    <t>AVALON</t>
  </si>
  <si>
    <t>CARAVAN</t>
  </si>
  <si>
    <t>ALPHARD</t>
  </si>
  <si>
    <t>CROWN</t>
  </si>
  <si>
    <t>DEMIO</t>
  </si>
  <si>
    <t>FOCUS</t>
  </si>
  <si>
    <t>NAVARA</t>
  </si>
  <si>
    <t>PASSO</t>
  </si>
  <si>
    <t>LANCER</t>
  </si>
  <si>
    <t>ESCUDO</t>
  </si>
  <si>
    <t>CRV</t>
  </si>
  <si>
    <t>AIR TREK/CS5</t>
  </si>
  <si>
    <t>VISTA</t>
  </si>
  <si>
    <t>RAV-4</t>
  </si>
  <si>
    <t>RD7</t>
  </si>
  <si>
    <t>AVENSIS</t>
  </si>
  <si>
    <t>HONDA ACCORD</t>
  </si>
  <si>
    <t>NZE</t>
  </si>
  <si>
    <t>VITZ</t>
  </si>
  <si>
    <t>T31/DUALIS</t>
  </si>
  <si>
    <t>ACA33</t>
  </si>
  <si>
    <t>SUZUKI VITARA</t>
  </si>
  <si>
    <t>ACA21</t>
  </si>
  <si>
    <t>KLUGER</t>
  </si>
  <si>
    <t>SUBARU</t>
  </si>
  <si>
    <t>LANDCRUISER 100 SERIES</t>
  </si>
  <si>
    <t>COROLLA E120/T230 CELICA</t>
  </si>
  <si>
    <t>LANDCRUISER J200/J150</t>
  </si>
  <si>
    <t>TOTAL</t>
  </si>
  <si>
    <t>initial QTY</t>
  </si>
  <si>
    <t>Added QTY</t>
  </si>
  <si>
    <t>Total QTY</t>
  </si>
  <si>
    <t>Sold Qty</t>
  </si>
  <si>
    <t>Rem QTY</t>
  </si>
  <si>
    <t>COST PRICE PER ITEM</t>
  </si>
  <si>
    <t>Total cost price</t>
  </si>
  <si>
    <t>Average QTY</t>
  </si>
  <si>
    <t>minQTY</t>
  </si>
  <si>
    <t>max QTY</t>
  </si>
  <si>
    <t>Cells with a number</t>
  </si>
  <si>
    <t>cells having basically  anything</t>
  </si>
  <si>
    <t>N/A</t>
  </si>
  <si>
    <t>MEDIAN</t>
  </si>
  <si>
    <t>Concatenate</t>
  </si>
  <si>
    <t>if statements</t>
  </si>
  <si>
    <t>NO. OF BRAKEPADS THAT COST 1750/=</t>
  </si>
  <si>
    <t>MODE</t>
  </si>
  <si>
    <t>NO. X</t>
  </si>
  <si>
    <t>X^3</t>
  </si>
  <si>
    <t>date bought</t>
  </si>
  <si>
    <t>20/5/2022</t>
  </si>
  <si>
    <t>20/5/2023</t>
  </si>
  <si>
    <t>20/5/2024</t>
  </si>
  <si>
    <t>20/5/2025</t>
  </si>
  <si>
    <t>20/5/2026</t>
  </si>
  <si>
    <t>20/5/1995</t>
  </si>
  <si>
    <t>20/5/1996</t>
  </si>
  <si>
    <t>20/5/1997</t>
  </si>
  <si>
    <t>20/5/1998</t>
  </si>
  <si>
    <t>20/5/1999</t>
  </si>
  <si>
    <t>20/5/2000</t>
  </si>
  <si>
    <t>20/5/2001</t>
  </si>
  <si>
    <t>20/5/2002</t>
  </si>
  <si>
    <t>20/5/2003</t>
  </si>
  <si>
    <t>20/5/2004</t>
  </si>
  <si>
    <t>20/5/2005</t>
  </si>
  <si>
    <t>20/5/2006</t>
  </si>
  <si>
    <t>20/5/2007</t>
  </si>
  <si>
    <t>20/5/2008</t>
  </si>
  <si>
    <t>20/5/2009</t>
  </si>
  <si>
    <t>20/5/2010</t>
  </si>
  <si>
    <t>20/5/2011</t>
  </si>
  <si>
    <t>20/5/2012</t>
  </si>
  <si>
    <t>20/5/2013</t>
  </si>
  <si>
    <t>20/5/2014</t>
  </si>
  <si>
    <t>20/5/2015</t>
  </si>
  <si>
    <t>20/5/2016</t>
  </si>
  <si>
    <t>20/5/2017</t>
  </si>
  <si>
    <t>20/5/2018</t>
  </si>
  <si>
    <t>20/5/2019</t>
  </si>
  <si>
    <t>20/5/2020</t>
  </si>
  <si>
    <t>20/5/2021</t>
  </si>
  <si>
    <t>20/5/2027</t>
  </si>
  <si>
    <t>20/5/2028</t>
  </si>
  <si>
    <t>20/5/2029</t>
  </si>
  <si>
    <t>20/5/2030</t>
  </si>
  <si>
    <t>20/5/2031</t>
  </si>
  <si>
    <t>20/5/2032</t>
  </si>
  <si>
    <t>20/5/2033</t>
  </si>
  <si>
    <t>20/5/2034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</si>
</sst>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Ksh-441]\ #,##0.00"/>
    <numFmt numFmtId="165" formatCode="m/d/yy;@"/>
    <numFmt numFmtId="166" formatCode="[$-409]d\-mmm\-yyyy;@"/>
    <numFmt numFmtId="167" formatCode="[$-409]dd\-mmm\-yy;@"/>
    <numFmt numFmtId="170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0A45-100F-4EC2-8FC7-886E66AC5F2A}">
  <dimension ref="A1:Z46"/>
  <sheetViews>
    <sheetView tabSelected="1" topLeftCell="R33" workbookViewId="0">
      <selection activeCell="X42" sqref="X42"/>
    </sheetView>
  </sheetViews>
  <sheetFormatPr defaultRowHeight="14.5" x14ac:dyDescent="0.35"/>
  <cols>
    <col min="1" max="1" width="17.26953125" bestFit="1" customWidth="1"/>
    <col min="2" max="2" width="11.7265625" bestFit="1" customWidth="1"/>
    <col min="3" max="3" width="11.6328125" bestFit="1" customWidth="1"/>
    <col min="4" max="4" width="9.26953125" bestFit="1" customWidth="1"/>
    <col min="5" max="5" width="33.6328125" bestFit="1" customWidth="1"/>
    <col min="6" max="6" width="19" bestFit="1" customWidth="1"/>
    <col min="7" max="7" width="11.90625" bestFit="1" customWidth="1"/>
    <col min="8" max="8" width="9.26953125" bestFit="1" customWidth="1"/>
    <col min="9" max="9" width="10.08984375" bestFit="1" customWidth="1"/>
    <col min="10" max="10" width="8.90625" bestFit="1" customWidth="1"/>
    <col min="11" max="11" width="7.81640625" bestFit="1" customWidth="1"/>
    <col min="12" max="12" width="8.36328125" bestFit="1" customWidth="1"/>
    <col min="13" max="13" width="13.6328125" bestFit="1" customWidth="1"/>
    <col min="14" max="14" width="11.81640625" bestFit="1" customWidth="1"/>
    <col min="15" max="15" width="7.81640625" bestFit="1" customWidth="1"/>
    <col min="16" max="16" width="8.1796875" bestFit="1" customWidth="1"/>
    <col min="17" max="17" width="17.54296875" bestFit="1" customWidth="1"/>
    <col min="18" max="18" width="26.26953125" bestFit="1" customWidth="1"/>
    <col min="19" max="19" width="30.6328125" bestFit="1" customWidth="1"/>
    <col min="20" max="20" width="2.81640625" bestFit="1" customWidth="1"/>
    <col min="21" max="21" width="6.81640625" bestFit="1" customWidth="1"/>
    <col min="22" max="22" width="5.54296875" bestFit="1" customWidth="1"/>
    <col min="23" max="23" width="3.90625" bestFit="1" customWidth="1"/>
    <col min="24" max="24" width="11.08984375" bestFit="1" customWidth="1"/>
    <col min="25" max="25" width="11.26953125" bestFit="1" customWidth="1"/>
  </cols>
  <sheetData>
    <row r="1" spans="1:2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84</v>
      </c>
      <c r="F1" s="1" t="s">
        <v>126</v>
      </c>
      <c r="G1" s="1" t="s">
        <v>136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135</v>
      </c>
      <c r="V1" s="1" t="s">
        <v>139</v>
      </c>
      <c r="W1" s="1" t="s">
        <v>140</v>
      </c>
      <c r="X1" s="1" t="s">
        <v>141</v>
      </c>
    </row>
    <row r="2" spans="1:24" x14ac:dyDescent="0.35">
      <c r="A2" t="s">
        <v>4</v>
      </c>
      <c r="B2" t="s">
        <v>5</v>
      </c>
      <c r="C2" t="s">
        <v>6</v>
      </c>
      <c r="D2" t="s">
        <v>7</v>
      </c>
      <c r="E2" t="s">
        <v>85</v>
      </c>
      <c r="F2" s="2">
        <v>1650</v>
      </c>
      <c r="G2" t="str">
        <f>IF(D2="Compact","Fake","original")</f>
        <v>Fake</v>
      </c>
      <c r="H2">
        <v>1</v>
      </c>
      <c r="I2">
        <v>8</v>
      </c>
      <c r="J2">
        <f>H2+I2</f>
        <v>9</v>
      </c>
      <c r="K2">
        <v>2</v>
      </c>
      <c r="L2">
        <f>J2-K2</f>
        <v>7</v>
      </c>
      <c r="M2">
        <f t="shared" ref="M2:M38" si="0">F2*L2</f>
        <v>11550</v>
      </c>
      <c r="N2">
        <f>AVERAGE(H2:L2)</f>
        <v>5.4</v>
      </c>
      <c r="O2">
        <f>MIN(H2:L2)</f>
        <v>1</v>
      </c>
      <c r="P2">
        <f>MAX(H2:L2)</f>
        <v>9</v>
      </c>
      <c r="Q2">
        <f>COUNT(F2:P2)</f>
        <v>10</v>
      </c>
      <c r="R2">
        <f>COUNTA(F2:Q2)</f>
        <v>12</v>
      </c>
      <c r="S2" t="str">
        <f t="shared" ref="S2:S41" si="1">_xlfn.CONCAT(E2,, D2)</f>
        <v>NISSAN TIIDACOMPACT</v>
      </c>
      <c r="T2">
        <v>10</v>
      </c>
      <c r="U2" s="4">
        <f>T2/100</f>
        <v>0.1</v>
      </c>
      <c r="V2">
        <v>2</v>
      </c>
      <c r="W2">
        <f>V2^3</f>
        <v>8</v>
      </c>
      <c r="X2" s="9" t="s">
        <v>147</v>
      </c>
    </row>
    <row r="3" spans="1:24" x14ac:dyDescent="0.35">
      <c r="A3" t="s">
        <v>4</v>
      </c>
      <c r="B3" t="s">
        <v>8</v>
      </c>
      <c r="C3" t="s">
        <v>9</v>
      </c>
      <c r="D3" t="s">
        <v>7</v>
      </c>
      <c r="E3" t="s">
        <v>86</v>
      </c>
      <c r="F3" s="2">
        <v>1650</v>
      </c>
      <c r="G3" t="str">
        <f t="shared" ref="G3:G41" si="2">IF(D3="Compact","Fake","original")</f>
        <v>Fake</v>
      </c>
      <c r="H3">
        <v>1</v>
      </c>
      <c r="I3">
        <v>3</v>
      </c>
      <c r="J3">
        <f t="shared" ref="J3:J41" si="3">H3+I3</f>
        <v>4</v>
      </c>
      <c r="K3">
        <v>2</v>
      </c>
      <c r="L3">
        <f t="shared" ref="L3:L41" si="4">J3-K3</f>
        <v>2</v>
      </c>
      <c r="M3">
        <f t="shared" si="0"/>
        <v>3300</v>
      </c>
      <c r="N3">
        <f t="shared" ref="N3:N41" si="5">AVERAGE(H3:L3)</f>
        <v>2.4</v>
      </c>
      <c r="O3">
        <f t="shared" ref="O3:O41" si="6">MIN(H3:L3)</f>
        <v>1</v>
      </c>
      <c r="P3">
        <f t="shared" ref="P3:P41" si="7">MAX(H3:L3)</f>
        <v>4</v>
      </c>
      <c r="Q3">
        <f t="shared" ref="Q3:Q22" si="8">COUNT(F3:P3)</f>
        <v>10</v>
      </c>
      <c r="R3">
        <f t="shared" ref="R3:R41" si="9">COUNTA(F3:Q3)</f>
        <v>12</v>
      </c>
      <c r="S3" t="str">
        <f t="shared" si="1"/>
        <v>BELTACOMPACT</v>
      </c>
      <c r="T3">
        <v>49</v>
      </c>
      <c r="U3" s="4">
        <f t="shared" ref="U3:U41" si="10">T3/100</f>
        <v>0.49</v>
      </c>
      <c r="V3">
        <v>3</v>
      </c>
      <c r="W3">
        <f t="shared" ref="W3:W41" si="11">V3^3</f>
        <v>27</v>
      </c>
      <c r="X3" s="9" t="s">
        <v>148</v>
      </c>
    </row>
    <row r="4" spans="1:24" x14ac:dyDescent="0.35">
      <c r="A4" t="s">
        <v>4</v>
      </c>
      <c r="B4" t="s">
        <v>10</v>
      </c>
      <c r="C4" t="s">
        <v>11</v>
      </c>
      <c r="D4" t="s">
        <v>7</v>
      </c>
      <c r="E4" t="s">
        <v>87</v>
      </c>
      <c r="F4" s="2">
        <v>1650</v>
      </c>
      <c r="G4" t="str">
        <f t="shared" si="2"/>
        <v>Fake</v>
      </c>
      <c r="H4">
        <v>1</v>
      </c>
      <c r="I4">
        <v>2</v>
      </c>
      <c r="J4">
        <f t="shared" si="3"/>
        <v>3</v>
      </c>
      <c r="K4">
        <v>2</v>
      </c>
      <c r="L4">
        <f t="shared" si="4"/>
        <v>1</v>
      </c>
      <c r="M4">
        <f t="shared" si="0"/>
        <v>1650</v>
      </c>
      <c r="N4">
        <f t="shared" si="5"/>
        <v>1.8</v>
      </c>
      <c r="O4">
        <f t="shared" si="6"/>
        <v>1</v>
      </c>
      <c r="P4">
        <f t="shared" si="7"/>
        <v>3</v>
      </c>
      <c r="Q4">
        <f t="shared" si="8"/>
        <v>10</v>
      </c>
      <c r="R4">
        <f t="shared" si="9"/>
        <v>12</v>
      </c>
      <c r="S4" t="str">
        <f t="shared" si="1"/>
        <v>GRAND MAXCOMPACT</v>
      </c>
      <c r="T4">
        <v>45</v>
      </c>
      <c r="U4" s="4">
        <f t="shared" si="10"/>
        <v>0.45</v>
      </c>
      <c r="V4">
        <v>4</v>
      </c>
      <c r="W4">
        <f t="shared" si="11"/>
        <v>64</v>
      </c>
      <c r="X4" s="9" t="s">
        <v>149</v>
      </c>
    </row>
    <row r="5" spans="1:24" x14ac:dyDescent="0.35">
      <c r="A5" t="s">
        <v>4</v>
      </c>
      <c r="B5" t="s">
        <v>12</v>
      </c>
      <c r="C5" t="s">
        <v>13</v>
      </c>
      <c r="D5" t="s">
        <v>7</v>
      </c>
      <c r="E5" t="s">
        <v>88</v>
      </c>
      <c r="F5" s="2">
        <v>1650</v>
      </c>
      <c r="G5" t="str">
        <f t="shared" si="2"/>
        <v>Fake</v>
      </c>
      <c r="H5">
        <v>1</v>
      </c>
      <c r="I5">
        <v>2</v>
      </c>
      <c r="J5">
        <f t="shared" si="3"/>
        <v>3</v>
      </c>
      <c r="K5">
        <v>2</v>
      </c>
      <c r="L5">
        <f t="shared" si="4"/>
        <v>1</v>
      </c>
      <c r="M5">
        <f t="shared" si="0"/>
        <v>1650</v>
      </c>
      <c r="N5">
        <f t="shared" si="5"/>
        <v>1.8</v>
      </c>
      <c r="O5">
        <f t="shared" si="6"/>
        <v>1</v>
      </c>
      <c r="P5">
        <f t="shared" si="7"/>
        <v>3</v>
      </c>
      <c r="Q5">
        <f t="shared" si="8"/>
        <v>10</v>
      </c>
      <c r="R5">
        <f t="shared" si="9"/>
        <v>12</v>
      </c>
      <c r="S5" t="str">
        <f t="shared" si="1"/>
        <v>L200COMPACT</v>
      </c>
      <c r="T5">
        <v>35</v>
      </c>
      <c r="U5" s="4">
        <f t="shared" si="10"/>
        <v>0.35</v>
      </c>
      <c r="V5">
        <v>5</v>
      </c>
      <c r="W5">
        <f t="shared" si="11"/>
        <v>125</v>
      </c>
      <c r="X5" s="9" t="s">
        <v>150</v>
      </c>
    </row>
    <row r="6" spans="1:24" x14ac:dyDescent="0.35">
      <c r="A6" t="s">
        <v>4</v>
      </c>
      <c r="B6" t="s">
        <v>14</v>
      </c>
      <c r="C6" t="s">
        <v>15</v>
      </c>
      <c r="D6" t="s">
        <v>7</v>
      </c>
      <c r="E6" t="s">
        <v>89</v>
      </c>
      <c r="F6" s="2">
        <v>1650</v>
      </c>
      <c r="G6" t="str">
        <f t="shared" si="2"/>
        <v>Fake</v>
      </c>
      <c r="I6">
        <v>6</v>
      </c>
      <c r="J6">
        <f t="shared" si="3"/>
        <v>6</v>
      </c>
      <c r="K6">
        <v>2</v>
      </c>
      <c r="L6">
        <f t="shared" si="4"/>
        <v>4</v>
      </c>
      <c r="M6">
        <f t="shared" si="0"/>
        <v>6600</v>
      </c>
      <c r="N6">
        <f t="shared" si="5"/>
        <v>4.5</v>
      </c>
      <c r="O6">
        <f t="shared" si="6"/>
        <v>2</v>
      </c>
      <c r="P6">
        <f t="shared" si="7"/>
        <v>6</v>
      </c>
      <c r="Q6">
        <f t="shared" si="8"/>
        <v>9</v>
      </c>
      <c r="R6">
        <f t="shared" si="9"/>
        <v>11</v>
      </c>
      <c r="S6" t="str">
        <f t="shared" si="1"/>
        <v>PREMIOCOMPACT</v>
      </c>
      <c r="T6">
        <v>23</v>
      </c>
      <c r="U6" s="4">
        <f t="shared" si="10"/>
        <v>0.23</v>
      </c>
      <c r="V6">
        <v>7</v>
      </c>
      <c r="W6">
        <f t="shared" si="11"/>
        <v>343</v>
      </c>
      <c r="X6" s="9" t="s">
        <v>151</v>
      </c>
    </row>
    <row r="7" spans="1:24" x14ac:dyDescent="0.35">
      <c r="A7" t="s">
        <v>4</v>
      </c>
      <c r="B7" t="s">
        <v>16</v>
      </c>
      <c r="C7" t="s">
        <v>17</v>
      </c>
      <c r="D7" t="s">
        <v>7</v>
      </c>
      <c r="E7" t="s">
        <v>90</v>
      </c>
      <c r="F7" s="2">
        <v>1650</v>
      </c>
      <c r="G7" t="str">
        <f t="shared" si="2"/>
        <v>Fake</v>
      </c>
      <c r="H7">
        <v>1</v>
      </c>
      <c r="I7">
        <v>1</v>
      </c>
      <c r="J7">
        <f t="shared" si="3"/>
        <v>2</v>
      </c>
      <c r="K7">
        <v>2</v>
      </c>
      <c r="L7">
        <v>5</v>
      </c>
      <c r="M7">
        <f t="shared" si="0"/>
        <v>8250</v>
      </c>
      <c r="N7">
        <f t="shared" si="5"/>
        <v>2.2000000000000002</v>
      </c>
      <c r="O7">
        <f t="shared" si="6"/>
        <v>1</v>
      </c>
      <c r="P7">
        <f t="shared" si="7"/>
        <v>5</v>
      </c>
      <c r="Q7">
        <f t="shared" si="8"/>
        <v>10</v>
      </c>
      <c r="R7">
        <f t="shared" si="9"/>
        <v>12</v>
      </c>
      <c r="S7" t="str">
        <f t="shared" si="1"/>
        <v>COROLLACOMPACT</v>
      </c>
      <c r="T7">
        <v>3</v>
      </c>
      <c r="U7" s="4">
        <f t="shared" si="10"/>
        <v>0.03</v>
      </c>
      <c r="V7">
        <v>8</v>
      </c>
      <c r="W7">
        <f t="shared" si="11"/>
        <v>512</v>
      </c>
      <c r="X7" s="9" t="s">
        <v>152</v>
      </c>
    </row>
    <row r="8" spans="1:24" x14ac:dyDescent="0.35">
      <c r="A8" t="s">
        <v>4</v>
      </c>
      <c r="B8" t="s">
        <v>18</v>
      </c>
      <c r="C8" t="s">
        <v>19</v>
      </c>
      <c r="D8" t="s">
        <v>7</v>
      </c>
      <c r="E8" t="s">
        <v>91</v>
      </c>
      <c r="F8" s="2">
        <v>1650</v>
      </c>
      <c r="G8" t="str">
        <f t="shared" si="2"/>
        <v>Fake</v>
      </c>
      <c r="H8">
        <v>1</v>
      </c>
      <c r="I8">
        <v>1</v>
      </c>
      <c r="J8">
        <f t="shared" si="3"/>
        <v>2</v>
      </c>
      <c r="L8">
        <f t="shared" si="4"/>
        <v>2</v>
      </c>
      <c r="M8">
        <f t="shared" si="0"/>
        <v>3300</v>
      </c>
      <c r="N8">
        <f t="shared" si="5"/>
        <v>1.5</v>
      </c>
      <c r="O8">
        <f t="shared" si="6"/>
        <v>1</v>
      </c>
      <c r="P8">
        <f t="shared" si="7"/>
        <v>2</v>
      </c>
      <c r="Q8">
        <f t="shared" si="8"/>
        <v>9</v>
      </c>
      <c r="R8">
        <f t="shared" si="9"/>
        <v>11</v>
      </c>
      <c r="S8" t="str">
        <f t="shared" si="1"/>
        <v>T32COMPACT</v>
      </c>
      <c r="T8">
        <v>23</v>
      </c>
      <c r="U8" s="4">
        <f t="shared" si="10"/>
        <v>0.23</v>
      </c>
      <c r="V8">
        <v>5</v>
      </c>
      <c r="W8">
        <f t="shared" si="11"/>
        <v>125</v>
      </c>
      <c r="X8" s="9" t="s">
        <v>153</v>
      </c>
    </row>
    <row r="9" spans="1:24" x14ac:dyDescent="0.35">
      <c r="A9" t="s">
        <v>4</v>
      </c>
      <c r="B9" t="s">
        <v>20</v>
      </c>
      <c r="C9" t="s">
        <v>21</v>
      </c>
      <c r="D9" t="s">
        <v>7</v>
      </c>
      <c r="E9" t="s">
        <v>92</v>
      </c>
      <c r="F9" s="2">
        <v>1650</v>
      </c>
      <c r="G9" t="str">
        <f t="shared" si="2"/>
        <v>Fake</v>
      </c>
      <c r="H9" t="s">
        <v>133</v>
      </c>
      <c r="I9">
        <v>1</v>
      </c>
      <c r="J9" t="e">
        <f t="shared" si="3"/>
        <v>#VALUE!</v>
      </c>
      <c r="K9">
        <v>2</v>
      </c>
      <c r="L9">
        <v>8</v>
      </c>
      <c r="M9">
        <f t="shared" si="0"/>
        <v>13200</v>
      </c>
      <c r="N9" t="e">
        <f t="shared" si="5"/>
        <v>#VALUE!</v>
      </c>
      <c r="O9" t="e">
        <f t="shared" si="6"/>
        <v>#VALUE!</v>
      </c>
      <c r="P9" t="e">
        <f t="shared" si="7"/>
        <v>#VALUE!</v>
      </c>
      <c r="Q9">
        <f>COUNT(F9:P9)</f>
        <v>5</v>
      </c>
      <c r="R9">
        <f t="shared" si="9"/>
        <v>12</v>
      </c>
      <c r="S9" t="str">
        <f t="shared" si="1"/>
        <v>AVALONCOMPACT</v>
      </c>
      <c r="T9">
        <v>32</v>
      </c>
      <c r="U9" s="4">
        <f t="shared" si="10"/>
        <v>0.32</v>
      </c>
      <c r="V9">
        <v>4</v>
      </c>
      <c r="W9">
        <f t="shared" si="11"/>
        <v>64</v>
      </c>
      <c r="X9" s="9" t="s">
        <v>154</v>
      </c>
    </row>
    <row r="10" spans="1:24" x14ac:dyDescent="0.35">
      <c r="A10" t="s">
        <v>4</v>
      </c>
      <c r="B10" t="s">
        <v>22</v>
      </c>
      <c r="C10" t="s">
        <v>23</v>
      </c>
      <c r="D10" t="s">
        <v>7</v>
      </c>
      <c r="E10" t="s">
        <v>93</v>
      </c>
      <c r="F10" s="2">
        <v>1650</v>
      </c>
      <c r="G10" t="str">
        <f t="shared" si="2"/>
        <v>Fake</v>
      </c>
      <c r="H10">
        <v>1</v>
      </c>
      <c r="I10">
        <v>3</v>
      </c>
      <c r="J10">
        <f t="shared" si="3"/>
        <v>4</v>
      </c>
      <c r="K10">
        <v>2</v>
      </c>
      <c r="M10">
        <f t="shared" si="0"/>
        <v>0</v>
      </c>
      <c r="N10">
        <f t="shared" si="5"/>
        <v>2.5</v>
      </c>
      <c r="O10">
        <f t="shared" si="6"/>
        <v>1</v>
      </c>
      <c r="P10">
        <f t="shared" si="7"/>
        <v>4</v>
      </c>
      <c r="Q10">
        <f t="shared" si="8"/>
        <v>9</v>
      </c>
      <c r="R10">
        <f t="shared" si="9"/>
        <v>11</v>
      </c>
      <c r="S10" t="str">
        <f t="shared" si="1"/>
        <v>CARAVANCOMPACT</v>
      </c>
      <c r="T10">
        <v>23</v>
      </c>
      <c r="U10" s="4">
        <f t="shared" si="10"/>
        <v>0.23</v>
      </c>
      <c r="V10">
        <v>2</v>
      </c>
      <c r="W10">
        <f t="shared" si="11"/>
        <v>8</v>
      </c>
      <c r="X10" s="9" t="s">
        <v>155</v>
      </c>
    </row>
    <row r="11" spans="1:24" x14ac:dyDescent="0.35">
      <c r="A11" t="s">
        <v>4</v>
      </c>
      <c r="B11" t="s">
        <v>24</v>
      </c>
      <c r="C11" t="s">
        <v>25</v>
      </c>
      <c r="D11" t="s">
        <v>7</v>
      </c>
      <c r="E11" t="s">
        <v>94</v>
      </c>
      <c r="F11" s="2">
        <v>2200</v>
      </c>
      <c r="G11" t="str">
        <f t="shared" si="2"/>
        <v>Fake</v>
      </c>
      <c r="H11">
        <v>1</v>
      </c>
      <c r="I11">
        <v>1</v>
      </c>
      <c r="J11">
        <f t="shared" si="3"/>
        <v>2</v>
      </c>
      <c r="K11">
        <v>2</v>
      </c>
      <c r="L11">
        <v>2</v>
      </c>
      <c r="M11">
        <f t="shared" si="0"/>
        <v>4400</v>
      </c>
      <c r="N11">
        <f t="shared" si="5"/>
        <v>1.6</v>
      </c>
      <c r="O11">
        <f t="shared" si="6"/>
        <v>1</v>
      </c>
      <c r="P11">
        <f t="shared" si="7"/>
        <v>2</v>
      </c>
      <c r="Q11">
        <f t="shared" si="8"/>
        <v>10</v>
      </c>
      <c r="R11">
        <f t="shared" si="9"/>
        <v>12</v>
      </c>
      <c r="S11" t="str">
        <f t="shared" si="1"/>
        <v>ALPHARDCOMPACT</v>
      </c>
      <c r="T11">
        <v>24</v>
      </c>
      <c r="U11" s="4">
        <f t="shared" si="10"/>
        <v>0.24</v>
      </c>
      <c r="V11">
        <v>2</v>
      </c>
      <c r="W11">
        <f t="shared" si="11"/>
        <v>8</v>
      </c>
      <c r="X11" s="9" t="s">
        <v>156</v>
      </c>
    </row>
    <row r="12" spans="1:24" x14ac:dyDescent="0.35">
      <c r="A12" t="s">
        <v>4</v>
      </c>
      <c r="B12" t="s">
        <v>26</v>
      </c>
      <c r="C12" t="s">
        <v>27</v>
      </c>
      <c r="D12" t="s">
        <v>7</v>
      </c>
      <c r="E12" t="s">
        <v>95</v>
      </c>
      <c r="F12" s="2">
        <v>2065</v>
      </c>
      <c r="G12" t="str">
        <f t="shared" si="2"/>
        <v>Fake</v>
      </c>
      <c r="H12">
        <v>1</v>
      </c>
      <c r="I12">
        <v>3</v>
      </c>
      <c r="J12">
        <f t="shared" si="3"/>
        <v>4</v>
      </c>
      <c r="K12">
        <v>2</v>
      </c>
      <c r="L12">
        <f t="shared" si="4"/>
        <v>2</v>
      </c>
      <c r="M12">
        <f t="shared" si="0"/>
        <v>4130</v>
      </c>
      <c r="N12">
        <f t="shared" si="5"/>
        <v>2.4</v>
      </c>
      <c r="O12">
        <f t="shared" si="6"/>
        <v>1</v>
      </c>
      <c r="P12">
        <f t="shared" si="7"/>
        <v>4</v>
      </c>
      <c r="Q12">
        <f t="shared" si="8"/>
        <v>10</v>
      </c>
      <c r="R12">
        <f t="shared" si="9"/>
        <v>12</v>
      </c>
      <c r="S12" t="str">
        <f t="shared" si="1"/>
        <v>CROWNCOMPACT</v>
      </c>
      <c r="T12">
        <v>24</v>
      </c>
      <c r="U12" s="4">
        <f t="shared" si="10"/>
        <v>0.24</v>
      </c>
      <c r="V12">
        <v>4</v>
      </c>
      <c r="W12">
        <f t="shared" si="11"/>
        <v>64</v>
      </c>
      <c r="X12" s="9" t="s">
        <v>157</v>
      </c>
    </row>
    <row r="13" spans="1:24" x14ac:dyDescent="0.35">
      <c r="A13" t="s">
        <v>4</v>
      </c>
      <c r="B13" t="s">
        <v>28</v>
      </c>
      <c r="C13" t="s">
        <v>29</v>
      </c>
      <c r="D13" t="s">
        <v>7</v>
      </c>
      <c r="E13" t="s">
        <v>96</v>
      </c>
      <c r="F13" s="2">
        <v>1660</v>
      </c>
      <c r="G13" t="str">
        <f t="shared" si="2"/>
        <v>Fake</v>
      </c>
      <c r="H13">
        <v>1</v>
      </c>
      <c r="I13">
        <v>1</v>
      </c>
      <c r="J13">
        <f t="shared" si="3"/>
        <v>2</v>
      </c>
      <c r="K13">
        <v>2</v>
      </c>
      <c r="L13">
        <f t="shared" si="4"/>
        <v>0</v>
      </c>
      <c r="M13">
        <f t="shared" si="0"/>
        <v>0</v>
      </c>
      <c r="N13">
        <f t="shared" si="5"/>
        <v>1.2</v>
      </c>
      <c r="O13">
        <f>MIN(H13:L13)</f>
        <v>0</v>
      </c>
      <c r="P13">
        <f t="shared" si="7"/>
        <v>2</v>
      </c>
      <c r="Q13">
        <f t="shared" si="8"/>
        <v>10</v>
      </c>
      <c r="R13">
        <f t="shared" si="9"/>
        <v>12</v>
      </c>
      <c r="S13" t="str">
        <f t="shared" si="1"/>
        <v>DEMIOCOMPACT</v>
      </c>
      <c r="T13">
        <v>24</v>
      </c>
      <c r="U13" s="4">
        <f t="shared" si="10"/>
        <v>0.24</v>
      </c>
      <c r="V13">
        <v>5</v>
      </c>
      <c r="W13">
        <f t="shared" si="11"/>
        <v>125</v>
      </c>
      <c r="X13" s="9" t="s">
        <v>158</v>
      </c>
    </row>
    <row r="14" spans="1:24" x14ac:dyDescent="0.35">
      <c r="A14" t="s">
        <v>4</v>
      </c>
      <c r="B14" t="s">
        <v>30</v>
      </c>
      <c r="C14" t="s">
        <v>31</v>
      </c>
      <c r="D14" t="s">
        <v>7</v>
      </c>
      <c r="E14" t="s">
        <v>97</v>
      </c>
      <c r="F14" s="2">
        <v>2150</v>
      </c>
      <c r="G14" t="str">
        <f t="shared" si="2"/>
        <v>Fake</v>
      </c>
      <c r="H14">
        <v>1</v>
      </c>
      <c r="I14">
        <v>6</v>
      </c>
      <c r="J14">
        <f t="shared" si="3"/>
        <v>7</v>
      </c>
      <c r="K14" t="s">
        <v>133</v>
      </c>
      <c r="L14" t="e">
        <f>J14-K14</f>
        <v>#VALUE!</v>
      </c>
      <c r="M14" t="e">
        <f t="shared" si="0"/>
        <v>#VALUE!</v>
      </c>
      <c r="N14" t="e">
        <f t="shared" si="5"/>
        <v>#VALUE!</v>
      </c>
      <c r="O14" t="e">
        <f t="shared" si="6"/>
        <v>#VALUE!</v>
      </c>
      <c r="P14" t="e">
        <f>MAX(H14:L14)</f>
        <v>#VALUE!</v>
      </c>
      <c r="Q14">
        <f t="shared" si="8"/>
        <v>4</v>
      </c>
      <c r="R14">
        <f t="shared" si="9"/>
        <v>12</v>
      </c>
      <c r="S14" t="str">
        <f t="shared" si="1"/>
        <v>FOCUSCOMPACT</v>
      </c>
      <c r="T14">
        <v>24</v>
      </c>
      <c r="U14" s="4">
        <f t="shared" si="10"/>
        <v>0.24</v>
      </c>
      <c r="V14">
        <v>7</v>
      </c>
      <c r="W14">
        <f t="shared" si="11"/>
        <v>343</v>
      </c>
      <c r="X14" s="9" t="s">
        <v>159</v>
      </c>
    </row>
    <row r="15" spans="1:24" x14ac:dyDescent="0.35">
      <c r="A15" t="s">
        <v>4</v>
      </c>
      <c r="B15" t="s">
        <v>32</v>
      </c>
      <c r="C15" t="s">
        <v>33</v>
      </c>
      <c r="D15" t="s">
        <v>7</v>
      </c>
      <c r="E15" t="s">
        <v>79</v>
      </c>
      <c r="F15" s="2">
        <v>2000</v>
      </c>
      <c r="G15" t="str">
        <f t="shared" si="2"/>
        <v>Fake</v>
      </c>
      <c r="H15">
        <v>1</v>
      </c>
      <c r="I15">
        <v>8</v>
      </c>
      <c r="J15">
        <f t="shared" si="3"/>
        <v>9</v>
      </c>
      <c r="K15">
        <v>2</v>
      </c>
      <c r="L15">
        <f t="shared" si="4"/>
        <v>7</v>
      </c>
      <c r="M15">
        <f t="shared" si="0"/>
        <v>14000</v>
      </c>
      <c r="N15">
        <f>AVERAGE(H15:L15)</f>
        <v>5.4</v>
      </c>
      <c r="O15">
        <f t="shared" si="6"/>
        <v>1</v>
      </c>
      <c r="P15">
        <f t="shared" si="7"/>
        <v>9</v>
      </c>
      <c r="Q15">
        <f t="shared" si="8"/>
        <v>10</v>
      </c>
      <c r="R15">
        <f t="shared" si="9"/>
        <v>12</v>
      </c>
      <c r="S15" t="str">
        <f t="shared" si="1"/>
        <v>NACOMPACT</v>
      </c>
      <c r="T15">
        <v>23</v>
      </c>
      <c r="U15" s="4">
        <f t="shared" si="10"/>
        <v>0.23</v>
      </c>
      <c r="V15">
        <v>8</v>
      </c>
      <c r="W15">
        <f t="shared" si="11"/>
        <v>512</v>
      </c>
      <c r="X15" s="9" t="s">
        <v>160</v>
      </c>
    </row>
    <row r="16" spans="1:24" x14ac:dyDescent="0.35">
      <c r="A16" t="s">
        <v>4</v>
      </c>
      <c r="B16" t="s">
        <v>34</v>
      </c>
      <c r="C16" t="s">
        <v>35</v>
      </c>
      <c r="D16" t="s">
        <v>7</v>
      </c>
      <c r="E16" t="s">
        <v>98</v>
      </c>
      <c r="F16" s="2">
        <v>2000</v>
      </c>
      <c r="G16" t="str">
        <f t="shared" si="2"/>
        <v>Fake</v>
      </c>
      <c r="H16">
        <v>1</v>
      </c>
      <c r="I16">
        <v>9</v>
      </c>
      <c r="J16">
        <f t="shared" si="3"/>
        <v>10</v>
      </c>
      <c r="K16">
        <v>2</v>
      </c>
      <c r="L16">
        <f t="shared" si="4"/>
        <v>8</v>
      </c>
      <c r="M16">
        <f t="shared" si="0"/>
        <v>16000</v>
      </c>
      <c r="N16">
        <f t="shared" si="5"/>
        <v>6</v>
      </c>
      <c r="O16">
        <f t="shared" si="6"/>
        <v>1</v>
      </c>
      <c r="P16">
        <f t="shared" si="7"/>
        <v>10</v>
      </c>
      <c r="Q16">
        <f>COUNT(F16:P16)</f>
        <v>10</v>
      </c>
      <c r="R16">
        <f t="shared" si="9"/>
        <v>12</v>
      </c>
      <c r="S16" t="str">
        <f t="shared" si="1"/>
        <v>NAVARACOMPACT</v>
      </c>
      <c r="T16">
        <v>23</v>
      </c>
      <c r="U16" s="4">
        <f t="shared" si="10"/>
        <v>0.23</v>
      </c>
      <c r="V16">
        <v>9</v>
      </c>
      <c r="W16">
        <f>V16^3</f>
        <v>729</v>
      </c>
      <c r="X16" s="9" t="s">
        <v>161</v>
      </c>
    </row>
    <row r="17" spans="1:26" x14ac:dyDescent="0.35">
      <c r="A17" t="s">
        <v>4</v>
      </c>
      <c r="B17" t="s">
        <v>36</v>
      </c>
      <c r="C17" t="s">
        <v>37</v>
      </c>
      <c r="D17" t="s">
        <v>7</v>
      </c>
      <c r="E17" t="s">
        <v>99</v>
      </c>
      <c r="F17" s="2">
        <v>5000</v>
      </c>
      <c r="G17" t="str">
        <f>IF(D17="Compact","Fake","original")</f>
        <v>Fake</v>
      </c>
      <c r="H17">
        <v>2</v>
      </c>
      <c r="I17">
        <v>9</v>
      </c>
      <c r="J17">
        <f t="shared" si="3"/>
        <v>11</v>
      </c>
      <c r="K17">
        <v>2</v>
      </c>
      <c r="L17">
        <f t="shared" si="4"/>
        <v>9</v>
      </c>
      <c r="M17">
        <f t="shared" si="0"/>
        <v>45000</v>
      </c>
      <c r="N17">
        <f t="shared" si="5"/>
        <v>6.6</v>
      </c>
      <c r="O17">
        <f t="shared" si="6"/>
        <v>2</v>
      </c>
      <c r="P17">
        <f t="shared" si="7"/>
        <v>11</v>
      </c>
      <c r="Q17">
        <f t="shared" si="8"/>
        <v>10</v>
      </c>
      <c r="R17">
        <f t="shared" si="9"/>
        <v>12</v>
      </c>
      <c r="S17" t="str">
        <f t="shared" si="1"/>
        <v>PASSOCOMPACT</v>
      </c>
      <c r="T17">
        <v>23</v>
      </c>
      <c r="U17" s="4">
        <f t="shared" si="10"/>
        <v>0.23</v>
      </c>
      <c r="V17">
        <v>5</v>
      </c>
      <c r="W17">
        <f t="shared" si="11"/>
        <v>125</v>
      </c>
      <c r="X17" s="9" t="s">
        <v>162</v>
      </c>
    </row>
    <row r="18" spans="1:26" x14ac:dyDescent="0.35">
      <c r="A18" t="s">
        <v>4</v>
      </c>
      <c r="B18" t="s">
        <v>38</v>
      </c>
      <c r="C18" t="s">
        <v>39</v>
      </c>
      <c r="D18" t="s">
        <v>7</v>
      </c>
      <c r="E18" t="s">
        <v>100</v>
      </c>
      <c r="F18" s="2">
        <v>1650</v>
      </c>
      <c r="G18" t="str">
        <f t="shared" si="2"/>
        <v>Fake</v>
      </c>
      <c r="H18">
        <v>1</v>
      </c>
      <c r="I18">
        <v>9</v>
      </c>
      <c r="J18">
        <f t="shared" si="3"/>
        <v>10</v>
      </c>
      <c r="K18">
        <v>2</v>
      </c>
      <c r="L18">
        <f t="shared" si="4"/>
        <v>8</v>
      </c>
      <c r="M18">
        <f t="shared" si="0"/>
        <v>13200</v>
      </c>
      <c r="N18">
        <f t="shared" si="5"/>
        <v>6</v>
      </c>
      <c r="O18">
        <f t="shared" si="6"/>
        <v>1</v>
      </c>
      <c r="P18">
        <f t="shared" si="7"/>
        <v>10</v>
      </c>
      <c r="Q18">
        <f t="shared" si="8"/>
        <v>10</v>
      </c>
      <c r="R18">
        <f t="shared" si="9"/>
        <v>12</v>
      </c>
      <c r="S18" t="str">
        <f t="shared" si="1"/>
        <v>LANCERCOMPACT</v>
      </c>
      <c r="T18">
        <v>23</v>
      </c>
      <c r="U18" s="4">
        <f t="shared" si="10"/>
        <v>0.23</v>
      </c>
      <c r="V18">
        <v>4</v>
      </c>
      <c r="W18">
        <f t="shared" si="11"/>
        <v>64</v>
      </c>
      <c r="X18" s="9" t="s">
        <v>163</v>
      </c>
    </row>
    <row r="19" spans="1:26" x14ac:dyDescent="0.35">
      <c r="A19" t="s">
        <v>4</v>
      </c>
      <c r="B19" t="s">
        <v>40</v>
      </c>
      <c r="C19" t="s">
        <v>41</v>
      </c>
      <c r="D19" t="s">
        <v>7</v>
      </c>
      <c r="E19" t="s">
        <v>101</v>
      </c>
      <c r="F19" s="2">
        <v>1600</v>
      </c>
      <c r="G19" t="str">
        <f t="shared" si="2"/>
        <v>Fake</v>
      </c>
      <c r="H19">
        <v>1</v>
      </c>
      <c r="J19">
        <f t="shared" si="3"/>
        <v>1</v>
      </c>
      <c r="K19">
        <v>2</v>
      </c>
      <c r="M19">
        <f t="shared" si="0"/>
        <v>0</v>
      </c>
      <c r="N19">
        <f t="shared" si="5"/>
        <v>1.3333333333333333</v>
      </c>
      <c r="O19">
        <f t="shared" si="6"/>
        <v>1</v>
      </c>
      <c r="P19">
        <f t="shared" si="7"/>
        <v>2</v>
      </c>
      <c r="Q19">
        <f t="shared" si="8"/>
        <v>8</v>
      </c>
      <c r="R19">
        <f>COUNTA(F19:Q19)</f>
        <v>10</v>
      </c>
      <c r="S19" t="str">
        <f t="shared" si="1"/>
        <v>ESCUDOCOMPACT</v>
      </c>
      <c r="T19">
        <v>56</v>
      </c>
      <c r="U19" s="4">
        <f t="shared" si="10"/>
        <v>0.56000000000000005</v>
      </c>
      <c r="V19">
        <v>3</v>
      </c>
      <c r="W19">
        <f t="shared" si="11"/>
        <v>27</v>
      </c>
      <c r="X19" s="9" t="s">
        <v>164</v>
      </c>
    </row>
    <row r="20" spans="1:26" x14ac:dyDescent="0.35">
      <c r="A20" t="s">
        <v>4</v>
      </c>
      <c r="B20" t="s">
        <v>42</v>
      </c>
      <c r="C20" t="s">
        <v>43</v>
      </c>
      <c r="D20" t="s">
        <v>7</v>
      </c>
      <c r="E20" t="s">
        <v>102</v>
      </c>
      <c r="F20" s="2">
        <v>1780</v>
      </c>
      <c r="G20" t="str">
        <f t="shared" si="2"/>
        <v>Fake</v>
      </c>
      <c r="H20">
        <v>2</v>
      </c>
      <c r="I20">
        <v>7</v>
      </c>
      <c r="J20">
        <f t="shared" si="3"/>
        <v>9</v>
      </c>
      <c r="K20">
        <v>2</v>
      </c>
      <c r="L20">
        <f t="shared" si="4"/>
        <v>7</v>
      </c>
      <c r="M20">
        <f t="shared" si="0"/>
        <v>12460</v>
      </c>
      <c r="N20">
        <f t="shared" si="5"/>
        <v>5.4</v>
      </c>
      <c r="O20">
        <f t="shared" si="6"/>
        <v>2</v>
      </c>
      <c r="P20">
        <f t="shared" si="7"/>
        <v>9</v>
      </c>
      <c r="Q20">
        <f t="shared" si="8"/>
        <v>10</v>
      </c>
      <c r="R20">
        <f t="shared" si="9"/>
        <v>12</v>
      </c>
      <c r="S20" t="str">
        <f t="shared" si="1"/>
        <v>CRVCOMPACT</v>
      </c>
      <c r="T20">
        <v>23</v>
      </c>
      <c r="U20" s="4">
        <f t="shared" si="10"/>
        <v>0.23</v>
      </c>
      <c r="V20">
        <v>2</v>
      </c>
      <c r="W20">
        <f t="shared" si="11"/>
        <v>8</v>
      </c>
      <c r="X20" s="9" t="s">
        <v>165</v>
      </c>
    </row>
    <row r="21" spans="1:26" x14ac:dyDescent="0.35">
      <c r="A21" t="s">
        <v>4</v>
      </c>
      <c r="B21" t="s">
        <v>44</v>
      </c>
      <c r="C21" t="s">
        <v>45</v>
      </c>
      <c r="D21" t="s">
        <v>7</v>
      </c>
      <c r="E21" t="s">
        <v>96</v>
      </c>
      <c r="F21" s="2">
        <v>1670</v>
      </c>
      <c r="G21" t="str">
        <f t="shared" si="2"/>
        <v>Fake</v>
      </c>
      <c r="H21">
        <v>3</v>
      </c>
      <c r="I21">
        <v>6</v>
      </c>
      <c r="J21">
        <f t="shared" si="3"/>
        <v>9</v>
      </c>
      <c r="K21">
        <v>2</v>
      </c>
      <c r="L21">
        <f t="shared" si="4"/>
        <v>7</v>
      </c>
      <c r="M21">
        <f t="shared" si="0"/>
        <v>11690</v>
      </c>
      <c r="N21">
        <f t="shared" si="5"/>
        <v>5.4</v>
      </c>
      <c r="O21">
        <f t="shared" si="6"/>
        <v>2</v>
      </c>
      <c r="P21">
        <f t="shared" si="7"/>
        <v>9</v>
      </c>
      <c r="Q21">
        <f t="shared" si="8"/>
        <v>10</v>
      </c>
      <c r="R21">
        <f t="shared" si="9"/>
        <v>12</v>
      </c>
      <c r="S21" t="str">
        <f t="shared" si="1"/>
        <v>DEMIOCOMPACT</v>
      </c>
      <c r="T21">
        <v>78</v>
      </c>
      <c r="U21" s="4">
        <f t="shared" si="10"/>
        <v>0.78</v>
      </c>
      <c r="V21">
        <v>3</v>
      </c>
      <c r="W21">
        <f t="shared" si="11"/>
        <v>27</v>
      </c>
      <c r="X21" s="9" t="s">
        <v>166</v>
      </c>
    </row>
    <row r="22" spans="1:26" x14ac:dyDescent="0.35">
      <c r="A22" t="s">
        <v>47</v>
      </c>
      <c r="B22" t="s">
        <v>46</v>
      </c>
      <c r="C22" t="s">
        <v>48</v>
      </c>
      <c r="D22" t="s">
        <v>7</v>
      </c>
      <c r="E22" t="s">
        <v>103</v>
      </c>
      <c r="F22" s="2">
        <v>1560</v>
      </c>
      <c r="G22" t="str">
        <f t="shared" si="2"/>
        <v>Fake</v>
      </c>
      <c r="H22">
        <v>1</v>
      </c>
      <c r="I22">
        <v>5</v>
      </c>
      <c r="J22">
        <f t="shared" si="3"/>
        <v>6</v>
      </c>
      <c r="K22">
        <v>2</v>
      </c>
      <c r="L22">
        <f>J22-K22</f>
        <v>4</v>
      </c>
      <c r="M22">
        <f t="shared" si="0"/>
        <v>6240</v>
      </c>
      <c r="N22">
        <f>AVERAGE(H22:L22)</f>
        <v>3.6</v>
      </c>
      <c r="O22">
        <f t="shared" si="6"/>
        <v>1</v>
      </c>
      <c r="P22">
        <f>MAX(H22:L22)</f>
        <v>6</v>
      </c>
      <c r="Q22">
        <f t="shared" si="8"/>
        <v>10</v>
      </c>
      <c r="R22">
        <f t="shared" si="9"/>
        <v>12</v>
      </c>
      <c r="S22" t="str">
        <f t="shared" si="1"/>
        <v>AIR TREK/CS5COMPACT</v>
      </c>
      <c r="T22">
        <v>5</v>
      </c>
      <c r="U22" s="4">
        <f t="shared" si="10"/>
        <v>0.05</v>
      </c>
      <c r="V22">
        <v>4</v>
      </c>
      <c r="W22">
        <f t="shared" si="11"/>
        <v>64</v>
      </c>
      <c r="X22" s="9" t="s">
        <v>167</v>
      </c>
    </row>
    <row r="23" spans="1:26" x14ac:dyDescent="0.35">
      <c r="A23" t="s">
        <v>47</v>
      </c>
      <c r="B23" t="s">
        <v>49</v>
      </c>
      <c r="C23" t="s">
        <v>50</v>
      </c>
      <c r="D23" t="s">
        <v>7</v>
      </c>
      <c r="E23" t="s">
        <v>104</v>
      </c>
      <c r="F23" s="2">
        <v>1465</v>
      </c>
      <c r="G23" t="str">
        <f t="shared" si="2"/>
        <v>Fake</v>
      </c>
      <c r="H23">
        <v>1</v>
      </c>
      <c r="I23">
        <v>4</v>
      </c>
      <c r="J23">
        <f t="shared" si="3"/>
        <v>5</v>
      </c>
      <c r="K23">
        <v>2</v>
      </c>
      <c r="L23">
        <f t="shared" si="4"/>
        <v>3</v>
      </c>
      <c r="M23">
        <f t="shared" si="0"/>
        <v>4395</v>
      </c>
      <c r="N23">
        <f t="shared" si="5"/>
        <v>3</v>
      </c>
      <c r="O23">
        <f>MIN(H23:L23)</f>
        <v>1</v>
      </c>
      <c r="P23">
        <f t="shared" si="7"/>
        <v>5</v>
      </c>
      <c r="Q23">
        <f>COUNT(F23:P23)</f>
        <v>10</v>
      </c>
      <c r="R23">
        <f t="shared" si="9"/>
        <v>12</v>
      </c>
      <c r="S23" t="str">
        <f t="shared" si="1"/>
        <v>VISTACOMPACT</v>
      </c>
      <c r="T23">
        <v>34</v>
      </c>
      <c r="U23" s="4">
        <f t="shared" si="10"/>
        <v>0.34</v>
      </c>
      <c r="V23">
        <v>3</v>
      </c>
      <c r="W23">
        <f t="shared" si="11"/>
        <v>27</v>
      </c>
      <c r="X23" s="9" t="s">
        <v>168</v>
      </c>
    </row>
    <row r="24" spans="1:26" x14ac:dyDescent="0.35">
      <c r="A24" t="s">
        <v>47</v>
      </c>
      <c r="B24" t="s">
        <v>51</v>
      </c>
      <c r="C24" t="s">
        <v>52</v>
      </c>
      <c r="D24" t="s">
        <v>7</v>
      </c>
      <c r="E24" t="s">
        <v>98</v>
      </c>
      <c r="F24" s="2">
        <v>1550</v>
      </c>
      <c r="G24" t="str">
        <f t="shared" si="2"/>
        <v>Fake</v>
      </c>
      <c r="H24">
        <v>1</v>
      </c>
      <c r="I24">
        <v>6</v>
      </c>
      <c r="J24">
        <f t="shared" si="3"/>
        <v>7</v>
      </c>
      <c r="K24">
        <v>2</v>
      </c>
      <c r="L24">
        <f t="shared" si="4"/>
        <v>5</v>
      </c>
      <c r="M24">
        <f t="shared" si="0"/>
        <v>7750</v>
      </c>
      <c r="N24">
        <f t="shared" si="5"/>
        <v>4.2</v>
      </c>
      <c r="O24">
        <f t="shared" si="6"/>
        <v>1</v>
      </c>
      <c r="P24">
        <f t="shared" si="7"/>
        <v>7</v>
      </c>
      <c r="Q24">
        <f>COUNT(F24:P24)</f>
        <v>10</v>
      </c>
      <c r="R24">
        <f t="shared" si="9"/>
        <v>12</v>
      </c>
      <c r="S24" t="str">
        <f t="shared" si="1"/>
        <v>NAVARACOMPACT</v>
      </c>
      <c r="T24">
        <v>34</v>
      </c>
      <c r="U24" s="4">
        <f t="shared" si="10"/>
        <v>0.34</v>
      </c>
      <c r="V24">
        <v>2</v>
      </c>
      <c r="W24">
        <f t="shared" si="11"/>
        <v>8</v>
      </c>
      <c r="X24" s="9" t="s">
        <v>169</v>
      </c>
    </row>
    <row r="25" spans="1:26" x14ac:dyDescent="0.35">
      <c r="A25" t="s">
        <v>47</v>
      </c>
      <c r="B25" t="s">
        <v>53</v>
      </c>
      <c r="C25" t="s">
        <v>54</v>
      </c>
      <c r="D25" t="s">
        <v>7</v>
      </c>
      <c r="E25" t="s">
        <v>105</v>
      </c>
      <c r="F25" s="2">
        <v>1560</v>
      </c>
      <c r="G25" t="str">
        <f t="shared" si="2"/>
        <v>Fake</v>
      </c>
      <c r="H25">
        <v>1</v>
      </c>
      <c r="I25">
        <v>6</v>
      </c>
      <c r="J25">
        <f t="shared" si="3"/>
        <v>7</v>
      </c>
      <c r="K25">
        <v>2</v>
      </c>
      <c r="L25">
        <f t="shared" si="4"/>
        <v>5</v>
      </c>
      <c r="M25">
        <f t="shared" si="0"/>
        <v>7800</v>
      </c>
      <c r="N25">
        <f t="shared" si="5"/>
        <v>4.2</v>
      </c>
      <c r="O25">
        <f t="shared" si="6"/>
        <v>1</v>
      </c>
      <c r="P25">
        <f t="shared" si="7"/>
        <v>7</v>
      </c>
      <c r="Q25">
        <f t="shared" ref="Q25:Q33" si="12">COUNT(F25:P25)</f>
        <v>10</v>
      </c>
      <c r="R25">
        <f t="shared" si="9"/>
        <v>12</v>
      </c>
      <c r="S25" t="str">
        <f t="shared" si="1"/>
        <v>RAV-4COMPACT</v>
      </c>
      <c r="T25">
        <v>34</v>
      </c>
      <c r="U25" s="4">
        <f t="shared" si="10"/>
        <v>0.34</v>
      </c>
      <c r="V25">
        <v>5</v>
      </c>
      <c r="W25">
        <f t="shared" si="11"/>
        <v>125</v>
      </c>
      <c r="X25" s="9" t="s">
        <v>170</v>
      </c>
    </row>
    <row r="26" spans="1:26" x14ac:dyDescent="0.35">
      <c r="A26" t="s">
        <v>47</v>
      </c>
      <c r="B26" t="s">
        <v>55</v>
      </c>
      <c r="C26" t="s">
        <v>56</v>
      </c>
      <c r="D26" t="s">
        <v>7</v>
      </c>
      <c r="E26" t="s">
        <v>106</v>
      </c>
      <c r="F26" s="2">
        <v>1698</v>
      </c>
      <c r="G26" t="str">
        <f t="shared" si="2"/>
        <v>Fake</v>
      </c>
      <c r="H26">
        <v>1</v>
      </c>
      <c r="I26">
        <v>7</v>
      </c>
      <c r="J26">
        <f t="shared" si="3"/>
        <v>8</v>
      </c>
      <c r="K26">
        <v>2</v>
      </c>
      <c r="L26">
        <f t="shared" si="4"/>
        <v>6</v>
      </c>
      <c r="M26">
        <f t="shared" si="0"/>
        <v>10188</v>
      </c>
      <c r="N26">
        <f t="shared" si="5"/>
        <v>4.8</v>
      </c>
      <c r="O26">
        <f t="shared" si="6"/>
        <v>1</v>
      </c>
      <c r="P26">
        <f t="shared" si="7"/>
        <v>8</v>
      </c>
      <c r="Q26">
        <f t="shared" si="12"/>
        <v>10</v>
      </c>
      <c r="R26">
        <f t="shared" si="9"/>
        <v>12</v>
      </c>
      <c r="S26" t="str">
        <f t="shared" si="1"/>
        <v>RD7COMPACT</v>
      </c>
      <c r="T26">
        <v>34</v>
      </c>
      <c r="U26" s="4">
        <f t="shared" si="10"/>
        <v>0.34</v>
      </c>
      <c r="V26">
        <v>3</v>
      </c>
      <c r="W26">
        <f t="shared" si="11"/>
        <v>27</v>
      </c>
      <c r="X26" s="9" t="s">
        <v>171</v>
      </c>
      <c r="Y26" s="5"/>
    </row>
    <row r="27" spans="1:26" x14ac:dyDescent="0.35">
      <c r="A27" t="s">
        <v>47</v>
      </c>
      <c r="B27" t="s">
        <v>57</v>
      </c>
      <c r="C27" t="s">
        <v>58</v>
      </c>
      <c r="D27" t="s">
        <v>7</v>
      </c>
      <c r="E27" t="s">
        <v>107</v>
      </c>
      <c r="F27" s="2">
        <v>1556</v>
      </c>
      <c r="G27" t="str">
        <f>IF(D27="Compact","Fake","original")</f>
        <v>Fake</v>
      </c>
      <c r="H27">
        <v>1</v>
      </c>
      <c r="J27">
        <f t="shared" si="3"/>
        <v>1</v>
      </c>
      <c r="K27">
        <v>2</v>
      </c>
      <c r="L27">
        <f>J27-K27</f>
        <v>-1</v>
      </c>
      <c r="M27">
        <f t="shared" si="0"/>
        <v>-1556</v>
      </c>
      <c r="N27">
        <f>AVERAGE(H27:L27)</f>
        <v>0.75</v>
      </c>
      <c r="O27">
        <f t="shared" si="6"/>
        <v>-1</v>
      </c>
      <c r="P27">
        <f t="shared" si="7"/>
        <v>2</v>
      </c>
      <c r="Q27">
        <f t="shared" si="12"/>
        <v>9</v>
      </c>
      <c r="R27">
        <f t="shared" si="9"/>
        <v>11</v>
      </c>
      <c r="S27" t="str">
        <f t="shared" si="1"/>
        <v>AVENSISCOMPACT</v>
      </c>
      <c r="T27">
        <v>35</v>
      </c>
      <c r="U27" s="4">
        <f t="shared" si="10"/>
        <v>0.35</v>
      </c>
      <c r="V27">
        <v>4</v>
      </c>
      <c r="W27">
        <f t="shared" si="11"/>
        <v>64</v>
      </c>
      <c r="X27" s="9" t="s">
        <v>172</v>
      </c>
      <c r="Y27" s="8"/>
    </row>
    <row r="28" spans="1:26" x14ac:dyDescent="0.35">
      <c r="A28" t="s">
        <v>47</v>
      </c>
      <c r="B28" t="s">
        <v>59</v>
      </c>
      <c r="C28" t="s">
        <v>60</v>
      </c>
      <c r="D28" t="s">
        <v>7</v>
      </c>
      <c r="E28" t="s">
        <v>97</v>
      </c>
      <c r="F28" s="2">
        <v>1680</v>
      </c>
      <c r="G28" t="str">
        <f t="shared" si="2"/>
        <v>Fake</v>
      </c>
      <c r="H28">
        <v>1</v>
      </c>
      <c r="I28">
        <v>9</v>
      </c>
      <c r="J28">
        <f t="shared" si="3"/>
        <v>10</v>
      </c>
      <c r="K28">
        <v>2</v>
      </c>
      <c r="L28">
        <f t="shared" si="4"/>
        <v>8</v>
      </c>
      <c r="M28">
        <f t="shared" si="0"/>
        <v>13440</v>
      </c>
      <c r="N28">
        <f t="shared" si="5"/>
        <v>6</v>
      </c>
      <c r="O28">
        <f t="shared" si="6"/>
        <v>1</v>
      </c>
      <c r="P28">
        <f t="shared" si="7"/>
        <v>10</v>
      </c>
      <c r="Q28">
        <f t="shared" si="12"/>
        <v>10</v>
      </c>
      <c r="R28">
        <f>COUNTA(F28:Q28)</f>
        <v>12</v>
      </c>
      <c r="S28" t="str">
        <f t="shared" si="1"/>
        <v>FOCUSCOMPACT</v>
      </c>
      <c r="T28">
        <v>36</v>
      </c>
      <c r="U28" s="4">
        <f t="shared" si="10"/>
        <v>0.36</v>
      </c>
      <c r="V28">
        <v>5</v>
      </c>
      <c r="W28">
        <f t="shared" si="11"/>
        <v>125</v>
      </c>
      <c r="X28" s="9" t="s">
        <v>173</v>
      </c>
    </row>
    <row r="29" spans="1:26" x14ac:dyDescent="0.35">
      <c r="A29" t="s">
        <v>47</v>
      </c>
      <c r="B29" t="s">
        <v>61</v>
      </c>
      <c r="C29" t="s">
        <v>62</v>
      </c>
      <c r="D29" t="s">
        <v>7</v>
      </c>
      <c r="E29" t="s">
        <v>108</v>
      </c>
      <c r="F29" s="2">
        <v>1555</v>
      </c>
      <c r="G29" t="str">
        <f t="shared" si="2"/>
        <v>Fake</v>
      </c>
      <c r="H29">
        <v>1</v>
      </c>
      <c r="I29">
        <v>4</v>
      </c>
      <c r="J29">
        <f t="shared" si="3"/>
        <v>5</v>
      </c>
      <c r="K29">
        <v>2</v>
      </c>
      <c r="L29">
        <f t="shared" si="4"/>
        <v>3</v>
      </c>
      <c r="M29">
        <f t="shared" si="0"/>
        <v>4665</v>
      </c>
      <c r="N29">
        <f t="shared" si="5"/>
        <v>3</v>
      </c>
      <c r="O29">
        <f t="shared" si="6"/>
        <v>1</v>
      </c>
      <c r="P29">
        <f>MAX(H29:L29)</f>
        <v>5</v>
      </c>
      <c r="Q29">
        <f t="shared" si="12"/>
        <v>10</v>
      </c>
      <c r="R29">
        <f t="shared" si="9"/>
        <v>12</v>
      </c>
      <c r="S29" t="str">
        <f t="shared" si="1"/>
        <v>HONDA ACCORDCOMPACT</v>
      </c>
      <c r="T29">
        <v>12</v>
      </c>
      <c r="U29" s="4">
        <f t="shared" si="10"/>
        <v>0.12</v>
      </c>
      <c r="V29">
        <v>4</v>
      </c>
      <c r="W29">
        <f t="shared" si="11"/>
        <v>64</v>
      </c>
      <c r="X29" s="9" t="s">
        <v>142</v>
      </c>
    </row>
    <row r="30" spans="1:26" x14ac:dyDescent="0.35">
      <c r="A30" t="s">
        <v>47</v>
      </c>
      <c r="B30" t="s">
        <v>64</v>
      </c>
      <c r="C30" t="s">
        <v>63</v>
      </c>
      <c r="D30" t="s">
        <v>7</v>
      </c>
      <c r="E30" t="s">
        <v>104</v>
      </c>
      <c r="F30" s="2">
        <v>1465</v>
      </c>
      <c r="G30" t="str">
        <f t="shared" si="2"/>
        <v>Fake</v>
      </c>
      <c r="H30">
        <v>1</v>
      </c>
      <c r="I30">
        <v>8</v>
      </c>
      <c r="J30">
        <f t="shared" si="3"/>
        <v>9</v>
      </c>
      <c r="K30">
        <v>2</v>
      </c>
      <c r="L30">
        <f t="shared" si="4"/>
        <v>7</v>
      </c>
      <c r="M30">
        <f t="shared" si="0"/>
        <v>10255</v>
      </c>
      <c r="N30">
        <f t="shared" si="5"/>
        <v>5.4</v>
      </c>
      <c r="O30">
        <f t="shared" si="6"/>
        <v>1</v>
      </c>
      <c r="P30">
        <f t="shared" si="7"/>
        <v>9</v>
      </c>
      <c r="Q30">
        <f t="shared" si="12"/>
        <v>10</v>
      </c>
      <c r="R30">
        <f t="shared" si="9"/>
        <v>12</v>
      </c>
      <c r="S30" t="str">
        <f t="shared" si="1"/>
        <v>VISTACOMPACT</v>
      </c>
      <c r="T30">
        <v>23</v>
      </c>
      <c r="U30" s="4">
        <f t="shared" si="10"/>
        <v>0.23</v>
      </c>
      <c r="V30">
        <v>4</v>
      </c>
      <c r="W30">
        <f t="shared" si="11"/>
        <v>64</v>
      </c>
      <c r="X30" s="9" t="s">
        <v>143</v>
      </c>
      <c r="Z30" s="7"/>
    </row>
    <row r="31" spans="1:26" x14ac:dyDescent="0.35">
      <c r="A31" t="s">
        <v>47</v>
      </c>
      <c r="B31" t="s">
        <v>65</v>
      </c>
      <c r="C31" t="s">
        <v>66</v>
      </c>
      <c r="D31" t="s">
        <v>7</v>
      </c>
      <c r="E31" t="s">
        <v>109</v>
      </c>
      <c r="F31" s="2">
        <v>1300</v>
      </c>
      <c r="G31" t="str">
        <f t="shared" si="2"/>
        <v>Fake</v>
      </c>
      <c r="H31">
        <v>1</v>
      </c>
      <c r="I31">
        <v>3</v>
      </c>
      <c r="J31">
        <f t="shared" si="3"/>
        <v>4</v>
      </c>
      <c r="K31">
        <v>2</v>
      </c>
      <c r="L31">
        <f t="shared" si="4"/>
        <v>2</v>
      </c>
      <c r="M31">
        <f t="shared" si="0"/>
        <v>2600</v>
      </c>
      <c r="N31">
        <f t="shared" si="5"/>
        <v>2.4</v>
      </c>
      <c r="O31">
        <f t="shared" si="6"/>
        <v>1</v>
      </c>
      <c r="P31">
        <f t="shared" si="7"/>
        <v>4</v>
      </c>
      <c r="Q31">
        <f>COUNT(F31:P31)</f>
        <v>10</v>
      </c>
      <c r="R31">
        <f t="shared" si="9"/>
        <v>12</v>
      </c>
      <c r="S31" t="str">
        <f t="shared" si="1"/>
        <v>NZECOMPACT</v>
      </c>
      <c r="T31">
        <v>14</v>
      </c>
      <c r="U31" s="4">
        <f t="shared" si="10"/>
        <v>0.14000000000000001</v>
      </c>
      <c r="V31">
        <v>4</v>
      </c>
      <c r="W31">
        <f t="shared" si="11"/>
        <v>64</v>
      </c>
      <c r="X31" s="9" t="s">
        <v>144</v>
      </c>
    </row>
    <row r="32" spans="1:26" x14ac:dyDescent="0.35">
      <c r="A32" t="s">
        <v>4</v>
      </c>
      <c r="B32" t="s">
        <v>67</v>
      </c>
      <c r="C32" t="s">
        <v>68</v>
      </c>
      <c r="D32" t="s">
        <v>69</v>
      </c>
      <c r="E32" t="s">
        <v>119</v>
      </c>
      <c r="F32" s="2">
        <v>1200</v>
      </c>
      <c r="G32" t="str">
        <f t="shared" si="2"/>
        <v>original</v>
      </c>
      <c r="H32">
        <v>1</v>
      </c>
      <c r="J32">
        <f t="shared" si="3"/>
        <v>1</v>
      </c>
      <c r="K32">
        <v>2</v>
      </c>
      <c r="L32">
        <f t="shared" si="4"/>
        <v>-1</v>
      </c>
      <c r="M32">
        <f t="shared" si="0"/>
        <v>-1200</v>
      </c>
      <c r="N32">
        <f t="shared" si="5"/>
        <v>0.75</v>
      </c>
      <c r="O32">
        <f t="shared" si="6"/>
        <v>-1</v>
      </c>
      <c r="P32">
        <f t="shared" si="7"/>
        <v>2</v>
      </c>
      <c r="Q32">
        <f t="shared" si="12"/>
        <v>9</v>
      </c>
      <c r="R32">
        <f t="shared" si="9"/>
        <v>11</v>
      </c>
      <c r="S32" t="str">
        <f t="shared" si="1"/>
        <v>LANDCRUISER J200/J150MK</v>
      </c>
      <c r="T32">
        <v>34</v>
      </c>
      <c r="U32" s="4">
        <f t="shared" si="10"/>
        <v>0.34</v>
      </c>
      <c r="V32">
        <v>4</v>
      </c>
      <c r="W32">
        <f t="shared" si="11"/>
        <v>64</v>
      </c>
      <c r="X32" s="9" t="s">
        <v>145</v>
      </c>
      <c r="Y32" s="6"/>
    </row>
    <row r="33" spans="1:25" x14ac:dyDescent="0.35">
      <c r="A33" t="s">
        <v>4</v>
      </c>
      <c r="B33" t="s">
        <v>70</v>
      </c>
      <c r="C33" t="s">
        <v>71</v>
      </c>
      <c r="D33" t="s">
        <v>69</v>
      </c>
      <c r="E33" t="s">
        <v>118</v>
      </c>
      <c r="F33" s="2">
        <v>1200</v>
      </c>
      <c r="G33" t="str">
        <f t="shared" si="2"/>
        <v>original</v>
      </c>
      <c r="H33">
        <v>1</v>
      </c>
      <c r="I33">
        <v>5</v>
      </c>
      <c r="J33">
        <f t="shared" si="3"/>
        <v>6</v>
      </c>
      <c r="K33">
        <v>2</v>
      </c>
      <c r="L33">
        <f t="shared" si="4"/>
        <v>4</v>
      </c>
      <c r="M33">
        <f t="shared" si="0"/>
        <v>4800</v>
      </c>
      <c r="N33">
        <f t="shared" si="5"/>
        <v>3.6</v>
      </c>
      <c r="O33">
        <f>MIN(H33:L33)</f>
        <v>1</v>
      </c>
      <c r="P33">
        <f t="shared" si="7"/>
        <v>6</v>
      </c>
      <c r="Q33">
        <f t="shared" si="12"/>
        <v>10</v>
      </c>
      <c r="R33">
        <f t="shared" si="9"/>
        <v>12</v>
      </c>
      <c r="S33" t="str">
        <f t="shared" si="1"/>
        <v>COROLLA E120/T230 CELICAMK</v>
      </c>
      <c r="T33">
        <v>56</v>
      </c>
      <c r="U33" s="4">
        <f t="shared" si="10"/>
        <v>0.56000000000000005</v>
      </c>
      <c r="V33">
        <v>4</v>
      </c>
      <c r="W33">
        <f t="shared" si="11"/>
        <v>64</v>
      </c>
      <c r="X33" s="9" t="s">
        <v>146</v>
      </c>
    </row>
    <row r="34" spans="1:25" x14ac:dyDescent="0.35">
      <c r="A34" t="s">
        <v>4</v>
      </c>
      <c r="B34" t="s">
        <v>72</v>
      </c>
      <c r="C34" t="s">
        <v>73</v>
      </c>
      <c r="D34" t="s">
        <v>69</v>
      </c>
      <c r="E34" t="s">
        <v>110</v>
      </c>
      <c r="F34" s="2">
        <v>4000</v>
      </c>
      <c r="G34" t="str">
        <f t="shared" si="2"/>
        <v>original</v>
      </c>
      <c r="H34">
        <v>1</v>
      </c>
      <c r="J34">
        <f t="shared" si="3"/>
        <v>1</v>
      </c>
      <c r="K34">
        <v>2</v>
      </c>
      <c r="L34">
        <f>J34-K34</f>
        <v>-1</v>
      </c>
      <c r="M34">
        <f t="shared" si="0"/>
        <v>-4000</v>
      </c>
      <c r="N34">
        <f t="shared" si="5"/>
        <v>0.75</v>
      </c>
      <c r="O34">
        <f t="shared" si="6"/>
        <v>-1</v>
      </c>
      <c r="P34">
        <f t="shared" si="7"/>
        <v>2</v>
      </c>
      <c r="Q34">
        <f>COUNT(F34:P34)</f>
        <v>9</v>
      </c>
      <c r="R34">
        <f>COUNTA(F34:Q34)</f>
        <v>11</v>
      </c>
      <c r="S34" t="str">
        <f t="shared" si="1"/>
        <v>VITZMK</v>
      </c>
      <c r="T34">
        <v>67</v>
      </c>
      <c r="U34" s="4">
        <f t="shared" si="10"/>
        <v>0.67</v>
      </c>
      <c r="V34">
        <v>4</v>
      </c>
      <c r="W34">
        <f t="shared" si="11"/>
        <v>64</v>
      </c>
      <c r="X34" s="9" t="s">
        <v>174</v>
      </c>
    </row>
    <row r="35" spans="1:25" x14ac:dyDescent="0.35">
      <c r="A35" t="s">
        <v>4</v>
      </c>
      <c r="B35">
        <v>220073468</v>
      </c>
      <c r="C35" t="s">
        <v>74</v>
      </c>
      <c r="D35" t="s">
        <v>75</v>
      </c>
      <c r="E35" t="s">
        <v>111</v>
      </c>
      <c r="F35" s="2">
        <v>1750</v>
      </c>
      <c r="G35" t="str">
        <f t="shared" si="2"/>
        <v>original</v>
      </c>
      <c r="H35">
        <v>1</v>
      </c>
      <c r="I35">
        <v>5</v>
      </c>
      <c r="J35">
        <f t="shared" si="3"/>
        <v>6</v>
      </c>
      <c r="K35">
        <v>2</v>
      </c>
      <c r="L35">
        <f t="shared" si="4"/>
        <v>4</v>
      </c>
      <c r="M35">
        <f t="shared" si="0"/>
        <v>7000</v>
      </c>
      <c r="N35">
        <f>AVERAGE(H35:L35)</f>
        <v>3.6</v>
      </c>
      <c r="O35">
        <f t="shared" si="6"/>
        <v>1</v>
      </c>
      <c r="P35">
        <f t="shared" si="7"/>
        <v>6</v>
      </c>
      <c r="Q35">
        <f t="shared" ref="Q35:Q40" si="13">COUNT(F35:P35)</f>
        <v>10</v>
      </c>
      <c r="R35">
        <f t="shared" si="9"/>
        <v>12</v>
      </c>
      <c r="S35" t="str">
        <f t="shared" si="1"/>
        <v>T31/DUALISBENDIX</v>
      </c>
      <c r="T35">
        <v>45</v>
      </c>
      <c r="U35" s="4">
        <f t="shared" si="10"/>
        <v>0.45</v>
      </c>
      <c r="V35">
        <v>4</v>
      </c>
      <c r="W35">
        <f t="shared" si="11"/>
        <v>64</v>
      </c>
      <c r="X35" s="9" t="s">
        <v>175</v>
      </c>
    </row>
    <row r="36" spans="1:25" x14ac:dyDescent="0.35">
      <c r="A36" t="s">
        <v>4</v>
      </c>
      <c r="B36">
        <v>220069723</v>
      </c>
      <c r="C36" t="s">
        <v>76</v>
      </c>
      <c r="D36" t="s">
        <v>75</v>
      </c>
      <c r="E36" t="s">
        <v>112</v>
      </c>
      <c r="F36" s="2">
        <v>1750</v>
      </c>
      <c r="G36" t="str">
        <f t="shared" si="2"/>
        <v>original</v>
      </c>
      <c r="H36">
        <v>1</v>
      </c>
      <c r="I36">
        <v>5</v>
      </c>
      <c r="J36">
        <f t="shared" si="3"/>
        <v>6</v>
      </c>
      <c r="K36">
        <v>2</v>
      </c>
      <c r="M36">
        <f t="shared" si="0"/>
        <v>0</v>
      </c>
      <c r="N36">
        <f t="shared" si="5"/>
        <v>3.5</v>
      </c>
      <c r="O36">
        <f t="shared" si="6"/>
        <v>1</v>
      </c>
      <c r="P36">
        <f t="shared" si="7"/>
        <v>6</v>
      </c>
      <c r="Q36">
        <f t="shared" si="13"/>
        <v>9</v>
      </c>
      <c r="R36">
        <f t="shared" si="9"/>
        <v>11</v>
      </c>
      <c r="S36" t="str">
        <f t="shared" si="1"/>
        <v>ACA33BENDIX</v>
      </c>
      <c r="T36">
        <v>56</v>
      </c>
      <c r="U36" s="4">
        <f t="shared" si="10"/>
        <v>0.56000000000000005</v>
      </c>
      <c r="V36">
        <v>4</v>
      </c>
      <c r="W36">
        <f t="shared" si="11"/>
        <v>64</v>
      </c>
      <c r="X36" s="9" t="s">
        <v>176</v>
      </c>
      <c r="Y36" s="7"/>
    </row>
    <row r="37" spans="1:25" x14ac:dyDescent="0.35">
      <c r="A37" t="s">
        <v>4</v>
      </c>
      <c r="B37">
        <v>220068966</v>
      </c>
      <c r="C37" t="s">
        <v>77</v>
      </c>
      <c r="D37" t="s">
        <v>75</v>
      </c>
      <c r="E37" t="s">
        <v>113</v>
      </c>
      <c r="F37" s="2">
        <v>1767</v>
      </c>
      <c r="G37" t="str">
        <f t="shared" si="2"/>
        <v>original</v>
      </c>
      <c r="H37">
        <v>1</v>
      </c>
      <c r="I37">
        <v>5</v>
      </c>
      <c r="J37">
        <f t="shared" si="3"/>
        <v>6</v>
      </c>
      <c r="K37">
        <v>2</v>
      </c>
      <c r="L37">
        <f t="shared" si="4"/>
        <v>4</v>
      </c>
      <c r="M37">
        <f t="shared" si="0"/>
        <v>7068</v>
      </c>
      <c r="N37">
        <f t="shared" si="5"/>
        <v>3.6</v>
      </c>
      <c r="O37">
        <f t="shared" si="6"/>
        <v>1</v>
      </c>
      <c r="P37">
        <f>MAX(H37:L37)</f>
        <v>6</v>
      </c>
      <c r="Q37">
        <f t="shared" si="13"/>
        <v>10</v>
      </c>
      <c r="R37">
        <f t="shared" si="9"/>
        <v>12</v>
      </c>
      <c r="S37" t="str">
        <f t="shared" si="1"/>
        <v>SUZUKI VITARABENDIX</v>
      </c>
      <c r="T37">
        <v>45</v>
      </c>
      <c r="U37" s="4">
        <f t="shared" si="10"/>
        <v>0.45</v>
      </c>
      <c r="V37">
        <v>4</v>
      </c>
      <c r="W37">
        <f t="shared" si="11"/>
        <v>64</v>
      </c>
      <c r="X37" s="9" t="s">
        <v>177</v>
      </c>
    </row>
    <row r="38" spans="1:25" x14ac:dyDescent="0.35">
      <c r="A38" t="s">
        <v>4</v>
      </c>
      <c r="B38">
        <v>220074146</v>
      </c>
      <c r="C38" t="s">
        <v>78</v>
      </c>
      <c r="D38" t="s">
        <v>75</v>
      </c>
      <c r="E38" t="s">
        <v>114</v>
      </c>
      <c r="F38" s="2">
        <v>1750</v>
      </c>
      <c r="G38" t="str">
        <f>IF(D38="Compact","Fake","original")</f>
        <v>original</v>
      </c>
      <c r="H38">
        <v>1</v>
      </c>
      <c r="I38">
        <v>5</v>
      </c>
      <c r="J38">
        <f t="shared" si="3"/>
        <v>6</v>
      </c>
      <c r="K38">
        <v>2</v>
      </c>
      <c r="L38">
        <f t="shared" si="4"/>
        <v>4</v>
      </c>
      <c r="M38">
        <f t="shared" si="0"/>
        <v>7000</v>
      </c>
      <c r="N38">
        <f t="shared" si="5"/>
        <v>3.6</v>
      </c>
      <c r="O38">
        <f t="shared" si="6"/>
        <v>1</v>
      </c>
      <c r="P38">
        <f t="shared" si="7"/>
        <v>6</v>
      </c>
      <c r="Q38">
        <f t="shared" si="13"/>
        <v>10</v>
      </c>
      <c r="R38">
        <f t="shared" si="9"/>
        <v>12</v>
      </c>
      <c r="S38" t="str">
        <f t="shared" si="1"/>
        <v>ACA21BENDIX</v>
      </c>
      <c r="T38">
        <v>24</v>
      </c>
      <c r="U38" s="4">
        <f t="shared" si="10"/>
        <v>0.24</v>
      </c>
      <c r="V38">
        <v>4</v>
      </c>
      <c r="W38">
        <f t="shared" si="11"/>
        <v>64</v>
      </c>
      <c r="X38" s="9" t="s">
        <v>178</v>
      </c>
    </row>
    <row r="39" spans="1:25" x14ac:dyDescent="0.35">
      <c r="A39" t="s">
        <v>4</v>
      </c>
      <c r="B39" t="s">
        <v>79</v>
      </c>
      <c r="C39" t="s">
        <v>80</v>
      </c>
      <c r="D39" t="s">
        <v>75</v>
      </c>
      <c r="E39" t="s">
        <v>115</v>
      </c>
      <c r="F39" s="2">
        <v>1750</v>
      </c>
      <c r="G39" t="str">
        <f t="shared" si="2"/>
        <v>original</v>
      </c>
      <c r="H39">
        <v>1</v>
      </c>
      <c r="I39">
        <v>5</v>
      </c>
      <c r="J39">
        <f t="shared" si="3"/>
        <v>6</v>
      </c>
      <c r="K39">
        <v>2</v>
      </c>
      <c r="L39">
        <f t="shared" si="4"/>
        <v>4</v>
      </c>
      <c r="N39">
        <f t="shared" si="5"/>
        <v>3.6</v>
      </c>
      <c r="O39">
        <f t="shared" si="6"/>
        <v>1</v>
      </c>
      <c r="P39">
        <f t="shared" si="7"/>
        <v>6</v>
      </c>
      <c r="Q39">
        <f t="shared" si="13"/>
        <v>9</v>
      </c>
      <c r="R39">
        <f t="shared" si="9"/>
        <v>11</v>
      </c>
      <c r="S39" t="str">
        <f t="shared" si="1"/>
        <v>KLUGERBENDIX</v>
      </c>
      <c r="T39">
        <v>23</v>
      </c>
      <c r="U39" s="4">
        <f t="shared" si="10"/>
        <v>0.23</v>
      </c>
      <c r="V39">
        <v>6</v>
      </c>
      <c r="W39">
        <f t="shared" si="11"/>
        <v>216</v>
      </c>
      <c r="X39" s="9" t="s">
        <v>179</v>
      </c>
    </row>
    <row r="40" spans="1:25" x14ac:dyDescent="0.35">
      <c r="A40" t="s">
        <v>4</v>
      </c>
      <c r="B40">
        <v>220087372</v>
      </c>
      <c r="C40" t="s">
        <v>81</v>
      </c>
      <c r="D40" t="s">
        <v>75</v>
      </c>
      <c r="E40" t="s">
        <v>116</v>
      </c>
      <c r="F40" s="2">
        <v>1750</v>
      </c>
      <c r="G40" t="str">
        <f t="shared" si="2"/>
        <v>original</v>
      </c>
      <c r="H40">
        <v>2</v>
      </c>
      <c r="I40">
        <v>5</v>
      </c>
      <c r="J40">
        <f t="shared" si="3"/>
        <v>7</v>
      </c>
      <c r="K40">
        <v>2</v>
      </c>
      <c r="L40">
        <f t="shared" si="4"/>
        <v>5</v>
      </c>
      <c r="M40">
        <f>F40*L40</f>
        <v>8750</v>
      </c>
      <c r="N40">
        <f t="shared" si="5"/>
        <v>4.2</v>
      </c>
      <c r="O40">
        <f t="shared" si="6"/>
        <v>2</v>
      </c>
      <c r="P40">
        <f t="shared" si="7"/>
        <v>7</v>
      </c>
      <c r="Q40">
        <f t="shared" si="13"/>
        <v>10</v>
      </c>
      <c r="R40">
        <f t="shared" si="9"/>
        <v>12</v>
      </c>
      <c r="S40" t="str">
        <f t="shared" si="1"/>
        <v>SUBARUBENDIX</v>
      </c>
      <c r="T40">
        <v>78</v>
      </c>
      <c r="U40" s="4">
        <f t="shared" si="10"/>
        <v>0.78</v>
      </c>
      <c r="V40">
        <v>7</v>
      </c>
      <c r="W40">
        <f t="shared" si="11"/>
        <v>343</v>
      </c>
      <c r="X40" s="9" t="s">
        <v>180</v>
      </c>
    </row>
    <row r="41" spans="1:25" x14ac:dyDescent="0.35">
      <c r="A41" t="s">
        <v>4</v>
      </c>
      <c r="B41" t="s">
        <v>82</v>
      </c>
      <c r="C41" t="s">
        <v>83</v>
      </c>
      <c r="D41" t="s">
        <v>7</v>
      </c>
      <c r="E41" t="s">
        <v>117</v>
      </c>
      <c r="F41" s="2">
        <v>2560</v>
      </c>
      <c r="G41" t="str">
        <f t="shared" si="2"/>
        <v>Fake</v>
      </c>
      <c r="H41">
        <v>3</v>
      </c>
      <c r="I41">
        <v>5</v>
      </c>
      <c r="J41">
        <f t="shared" si="3"/>
        <v>8</v>
      </c>
      <c r="K41">
        <v>2</v>
      </c>
      <c r="L41">
        <f t="shared" si="4"/>
        <v>6</v>
      </c>
      <c r="M41">
        <f>F41*L41</f>
        <v>15360</v>
      </c>
      <c r="N41">
        <f t="shared" si="5"/>
        <v>4.8</v>
      </c>
      <c r="O41">
        <f t="shared" si="6"/>
        <v>2</v>
      </c>
      <c r="P41">
        <f t="shared" si="7"/>
        <v>8</v>
      </c>
      <c r="Q41">
        <f>COUNT(F41:P41)</f>
        <v>10</v>
      </c>
      <c r="R41">
        <f t="shared" si="9"/>
        <v>12</v>
      </c>
      <c r="S41" t="str">
        <f t="shared" si="1"/>
        <v>LANDCRUISER 100 SERIESCOMPACT</v>
      </c>
      <c r="T41">
        <v>89</v>
      </c>
      <c r="U41" s="4">
        <f t="shared" si="10"/>
        <v>0.89</v>
      </c>
      <c r="V41">
        <v>8</v>
      </c>
      <c r="W41">
        <f t="shared" si="11"/>
        <v>512</v>
      </c>
      <c r="X41" s="9" t="s">
        <v>181</v>
      </c>
    </row>
    <row r="42" spans="1:25" x14ac:dyDescent="0.35">
      <c r="E42" s="1" t="s">
        <v>120</v>
      </c>
      <c r="F42" s="3">
        <f>SUM(F2:F41)</f>
        <v>73491</v>
      </c>
      <c r="G42" s="1"/>
      <c r="H42" s="1"/>
      <c r="M42" s="1" t="e">
        <f>SUM(M2:M41)</f>
        <v>#VALUE!</v>
      </c>
    </row>
    <row r="43" spans="1:25" x14ac:dyDescent="0.35">
      <c r="E43" s="1" t="s">
        <v>134</v>
      </c>
      <c r="F43" s="3">
        <f>MEDIAN(F2:F41)</f>
        <v>1650</v>
      </c>
    </row>
    <row r="44" spans="1:25" x14ac:dyDescent="0.35">
      <c r="E44" s="1" t="s">
        <v>137</v>
      </c>
      <c r="F44" s="1">
        <f>COUNTIF(F2:F41,1750)</f>
        <v>5</v>
      </c>
    </row>
    <row r="45" spans="1:25" x14ac:dyDescent="0.35">
      <c r="E45" s="1" t="s">
        <v>138</v>
      </c>
      <c r="F45" s="3">
        <f>_xlfn.MODE.MULT(F2:F41)</f>
        <v>1650</v>
      </c>
    </row>
    <row r="46" spans="1:25" x14ac:dyDescent="0.35">
      <c r="E46" s="1" t="s">
        <v>138</v>
      </c>
      <c r="F46" s="3">
        <f>_xlfn.MODE.SNGL(F2:F41)</f>
        <v>1650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foundations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 Lashes</dc:creator>
  <cp:lastModifiedBy>Rapid Lashes</cp:lastModifiedBy>
  <dcterms:created xsi:type="dcterms:W3CDTF">2025-03-08T10:42:24Z</dcterms:created>
  <dcterms:modified xsi:type="dcterms:W3CDTF">2026-06-02T19:40:11Z</dcterms:modified>
</cp:coreProperties>
</file>